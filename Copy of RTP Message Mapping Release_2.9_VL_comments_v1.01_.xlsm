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F:\RTP 2019 Projects\Release 2.9\Message Mapping\"/>
    </mc:Choice>
  </mc:AlternateContent>
  <bookViews>
    <workbookView xWindow="0" yWindow="0" windowWidth="17895" windowHeight="8055" tabRatio="500" activeTab="5"/>
  </bookViews>
  <sheets>
    <sheet name="Legend" sheetId="20" r:id="rId1"/>
    <sheet name="Using This Workbook" sheetId="1" r:id="rId2"/>
    <sheet name="Credit Transfer (pacs.008)" sheetId="2" r:id="rId3"/>
    <sheet name="Zelle Credit Transfer" sheetId="3" r:id="rId4"/>
    <sheet name="Message Status Report(pacs.002)" sheetId="4" r:id="rId5"/>
    <sheet name="RFP (pain.013)" sheetId="5" r:id="rId6"/>
    <sheet name="Zelle RFP (pain.013)" sheetId="6" r:id="rId7"/>
    <sheet name="RFPR (pain.014)" sheetId="7" r:id="rId8"/>
    <sheet name="RFI (camt.026)" sheetId="8" r:id="rId9"/>
    <sheet name="RFIR (camt.028)" sheetId="9" r:id="rId10"/>
    <sheet name="RFR (camt.056)" sheetId="10" r:id="rId11"/>
    <sheet name="RFRR (camt.029)" sheetId="11" r:id="rId12"/>
    <sheet name="Payment Ack (camt.035)" sheetId="12" r:id="rId13"/>
    <sheet name="Remit Advice (remt.001)" sheetId="13" r:id="rId14"/>
    <sheet name="LclInstr and CatPurp (mult)" sheetId="14" r:id="rId15"/>
    <sheet name="Ultimate Parties (mult)" sheetId="15" r:id="rId16"/>
    <sheet name="Message Names (pacs.002)" sheetId="16" r:id="rId17"/>
    <sheet name="Reason Codes (pacs.002) " sheetId="17" r:id="rId18"/>
    <sheet name="Reason Cd and Prtry (pain.014)" sheetId="18" r:id="rId19"/>
    <sheet name="CxlRsnInf Cd (camt.056)" sheetId="19" r:id="rId20"/>
  </sheets>
  <definedNames>
    <definedName name="_xlnm._FilterDatabase" localSheetId="2" hidden="1">'Credit Transfer (pacs.008)'!$A$1:$T$82</definedName>
    <definedName name="_xlnm._FilterDatabase" localSheetId="4">'Message Status Report(pacs.002)'!$A$1:$T$20</definedName>
    <definedName name="_xlnm._FilterDatabase" localSheetId="12">'Payment Ack (camt.035)'!$A$1:$T$13</definedName>
    <definedName name="_xlnm._FilterDatabase" localSheetId="13">'Remit Advice (remt.001)'!$A$1:$W$21</definedName>
    <definedName name="_xlnm._FilterDatabase" localSheetId="8">'RFI (camt.026)'!$A$1:$T$30</definedName>
    <definedName name="_xlnm._FilterDatabase" localSheetId="9" hidden="1">'RFIR (camt.028)'!$A$1:$T$76</definedName>
    <definedName name="_xlnm._FilterDatabase" localSheetId="5">'RFP (pain.013)'!$A$1:$T$81</definedName>
    <definedName name="_xlnm._FilterDatabase" localSheetId="7">'RFPR (pain.014)'!$A$1:$T$27</definedName>
    <definedName name="_xlnm._FilterDatabase" localSheetId="10">'RFR (camt.056)'!$A$1:$T$47</definedName>
    <definedName name="_xlnm._FilterDatabase" localSheetId="11">'RFRR (camt.029)'!$A$1:$T$20</definedName>
    <definedName name="_xlnm._FilterDatabase" localSheetId="3">'Zelle Credit Transfer'!$A$1:$R$47</definedName>
    <definedName name="_xlnm._FilterDatabase" localSheetId="6">'Zelle RFP (pain.013)'!$A$1:$R$79</definedName>
    <definedName name="n" localSheetId="0">#REF!</definedName>
    <definedName name="n">#REF!</definedName>
    <definedName name="_xlnm.Print_Area" localSheetId="1">'Using This Workbook'!$A$1:$C$18</definedName>
  </definedNames>
  <calcPr calcId="162913"/>
  <extLst>
    <ext xmlns:loext="http://schemas.libreoffice.org/" uri="{7626C862-2A13-11E5-B345-FEFF819CDC9F}">
      <loext:extCalcPr stringRefSyntax="ExcelA1"/>
    </ext>
  </extLst>
</workbook>
</file>

<file path=xl/calcChain.xml><?xml version="1.0" encoding="utf-8"?>
<calcChain xmlns="http://schemas.openxmlformats.org/spreadsheetml/2006/main">
  <c r="G7" i="18" l="1"/>
  <c r="G6" i="18"/>
  <c r="G5" i="18"/>
  <c r="G4" i="18"/>
  <c r="G3" i="18"/>
  <c r="S79" i="6"/>
  <c r="S78" i="6"/>
  <c r="S77" i="6"/>
  <c r="S72" i="6"/>
  <c r="S71" i="6"/>
  <c r="S70" i="6"/>
  <c r="S69" i="6"/>
  <c r="S68" i="6"/>
  <c r="S67" i="6"/>
  <c r="S66" i="6"/>
  <c r="S65" i="6"/>
  <c r="S64" i="6"/>
  <c r="S63" i="6"/>
  <c r="S62" i="6"/>
  <c r="S61" i="6"/>
  <c r="S59" i="6"/>
  <c r="S55" i="6"/>
  <c r="S43" i="6"/>
  <c r="S42" i="6"/>
  <c r="S41" i="6"/>
  <c r="S35" i="6"/>
  <c r="S34" i="6"/>
  <c r="S33" i="6"/>
  <c r="S32" i="6"/>
  <c r="S31" i="6"/>
  <c r="S30" i="6"/>
  <c r="S29" i="6"/>
  <c r="S28" i="6"/>
  <c r="S27" i="6"/>
  <c r="S81" i="5"/>
  <c r="S80" i="5"/>
  <c r="S79" i="5"/>
  <c r="S74" i="5"/>
  <c r="S73" i="5"/>
  <c r="S72" i="5"/>
  <c r="S71" i="5"/>
  <c r="S70" i="5"/>
  <c r="S69" i="5"/>
  <c r="S68" i="5"/>
  <c r="S67" i="5"/>
  <c r="S66" i="5"/>
  <c r="S65" i="5"/>
  <c r="S64" i="5"/>
  <c r="S63" i="5"/>
  <c r="S61" i="5"/>
  <c r="S57" i="5"/>
  <c r="S56" i="5"/>
  <c r="S44" i="5"/>
  <c r="S43" i="5"/>
  <c r="S42" i="5"/>
  <c r="S41" i="5"/>
  <c r="S36" i="5"/>
  <c r="S35" i="5"/>
  <c r="S34" i="5"/>
  <c r="S33" i="5"/>
  <c r="S32" i="5"/>
  <c r="S31" i="5"/>
  <c r="S30" i="5"/>
  <c r="S29" i="5"/>
  <c r="S28" i="5"/>
  <c r="S20" i="5"/>
  <c r="S80" i="3"/>
  <c r="S73" i="3"/>
  <c r="S72" i="3"/>
  <c r="S71" i="3"/>
  <c r="S70" i="3"/>
  <c r="S69" i="3"/>
  <c r="S68" i="3"/>
  <c r="S67" i="3"/>
  <c r="S66" i="3"/>
  <c r="S65" i="3"/>
  <c r="S64" i="3"/>
  <c r="S63" i="3"/>
  <c r="S62" i="3"/>
  <c r="S56" i="3"/>
  <c r="S55" i="3"/>
  <c r="S31" i="3"/>
  <c r="S30" i="3"/>
  <c r="S29" i="3"/>
  <c r="S28" i="3"/>
  <c r="S27" i="3"/>
  <c r="S80" i="2"/>
  <c r="S73" i="2"/>
  <c r="S72" i="2"/>
  <c r="S71" i="2"/>
  <c r="S70" i="2"/>
  <c r="S69" i="2"/>
  <c r="S68" i="2"/>
  <c r="S67" i="2"/>
  <c r="S66" i="2"/>
  <c r="S65" i="2"/>
  <c r="S64" i="2"/>
  <c r="S63" i="2"/>
  <c r="S62" i="2"/>
  <c r="S56" i="2"/>
  <c r="S55" i="2"/>
  <c r="S31" i="2"/>
  <c r="S30" i="2"/>
  <c r="S29" i="2"/>
  <c r="S28" i="2"/>
  <c r="S27" i="2"/>
</calcChain>
</file>

<file path=xl/comments1.xml><?xml version="1.0" encoding="utf-8"?>
<comments xmlns="http://schemas.openxmlformats.org/spreadsheetml/2006/main">
  <authors>
    <author/>
  </authors>
  <commentList>
    <comment ref="Q27" authorId="0" shapeId="0">
      <text>
        <r>
          <rPr>
            <b/>
            <sz val="9"/>
            <color rgb="FF000000"/>
            <rFont val="Tahoma"/>
            <family val="2"/>
            <charset val="1"/>
          </rPr>
          <t xml:space="preserve">capture:
</t>
        </r>
        <r>
          <rPr>
            <sz val="9"/>
            <color rgb="FF000000"/>
            <rFont val="Tahoma"/>
            <family val="2"/>
            <charset val="1"/>
          </rPr>
          <t xml:space="preserve">this doesn't show that missing information is permitted to have 10 occurrences, but that is the case in both 2.8 and 2.9, so should be able to direct map. </t>
        </r>
      </text>
    </comment>
  </commentList>
</comments>
</file>

<file path=xl/sharedStrings.xml><?xml version="1.0" encoding="utf-8"?>
<sst xmlns="http://schemas.openxmlformats.org/spreadsheetml/2006/main" count="4729" uniqueCount="1383">
  <si>
    <t>Authorization</t>
  </si>
  <si>
    <t>This document is confidential and is intended solely for the use of prospective or actual customers and partners of The Clearing House. The information in this document is not in the public domain and may not be disclosed to any third party without the prior written consent of The Clearing House.
© 2019 The Clearing House Payments Company, L.L.C. All rights reserved.
The Clearing House makes no representations or warranties that the information in this document is accurate, comprehensive, verified or complete. To the fullest extent permitted under applicable law, The Clearing House expressly disclaims all representations and warranties of any kind with respect to the information provided in this document, whether express or implied.</t>
  </si>
  <si>
    <t>About This Workbook</t>
  </si>
  <si>
    <t xml:space="preserve">This document descibes how each message that exists in both the current RTP message set and the updated 2.9 message set will be mapped when sent from a connection that is on one version to a connection that is on the other version. Each sheet covers a single message type, and describes each of the fields from both versions of the messages. In each sheet: 
•   Columns A through H include information regarding elements as they appear in the current messages. If an element does not exist in the current message set, these columns will be blank for the specific row.
•   Columns I through Q include information regarding elements as they appear in the 2.9 version of the messages. If an element is new in version 2.9, Column R includes an indicator for a new element
•   Column S describes how the message will be mapped when a participant using a 2.8 connection sends this message type to a participant using a 2.9 connection. 
•   Column T describes how the message will be mapped when a participant using a 2.9 connection sends this message type to a participant using a 2.8 connection. 
While reading this document, pay special attention to othe values that appear in columns S and T, as these columns may reference other sheets with more detailed information about the mapping. 
</t>
  </si>
  <si>
    <t xml:space="preserve">If the values in columns S and T have the following meanings: </t>
  </si>
  <si>
    <t xml:space="preserve">•   Direct Map: the element will be directly mapped to the element included in the row for the other message type. No changes will be made. Such fields have been highlighted gray. </t>
  </si>
  <si>
    <t xml:space="preserve">•   Transformed by System: the element is enriched or overwritten by the RTP System, so mapping is not necessary. Such fields have also been highlighted gray. </t>
  </si>
  <si>
    <t xml:space="preserve">•   Drop: information included in the element will be dropped by the RTP system, resulting in the message receiver not receiving the information included. Such fields have been highlighted yellow. </t>
  </si>
  <si>
    <t xml:space="preserve">•   N/A: Not applicable. Where a new optional field has been added to the 2.9 message, a sending participant using message set 2.8 will not have the ability to send a message that includes information that would be carried in the new 2.9 field. Therefore, the system will never map anything to the new field. If values are included in the 2.9 version of the message, and such information fits logically into an existing 2.8 field, TCH has attempted to carry the data. Such fields are highlighted light orange. </t>
  </si>
  <si>
    <t xml:space="preserve">If the presence of a certain value in a field may result in a mapping failure that causes the message to be rejected by the RTP system , the field has been highlighted Orange. </t>
  </si>
  <si>
    <t xml:space="preserve">If the presence of a certain field altogether will result in a mapping failure that causes the message to be rejected by the RTP system, the field has been highlighted Red. </t>
  </si>
  <si>
    <t xml:space="preserve">•   Other fields have specific mapping rules that are highlighted in other colors and refer to other sheets for mapping rules. 
</t>
  </si>
  <si>
    <t>Xpath 2.8</t>
  </si>
  <si>
    <t>Index</t>
  </si>
  <si>
    <t>Tag</t>
  </si>
  <si>
    <t>Max. Length</t>
  </si>
  <si>
    <t>Special Length</t>
  </si>
  <si>
    <t>Min.Occ.</t>
  </si>
  <si>
    <t>Max.Occ.</t>
  </si>
  <si>
    <t>Xpath 2.9</t>
  </si>
  <si>
    <t>Length</t>
  </si>
  <si>
    <t>Total Digit</t>
  </si>
  <si>
    <t>New Element Indicator</t>
  </si>
  <si>
    <t>2.8 to 2.9 Mapping</t>
  </si>
  <si>
    <t>2.9 to 2.8 Mapping</t>
  </si>
  <si>
    <t>FIToFICstmrCdtTrf/GrpHdr/MsgId</t>
  </si>
  <si>
    <t>1.1</t>
  </si>
  <si>
    <t>MsgId</t>
  </si>
  <si>
    <t>Document/FIToFICstmrCdtTrf/GrpHdr/MsgId</t>
  </si>
  <si>
    <t>Direct Map</t>
  </si>
  <si>
    <t>FIToFICstmrCdtTrf/GrpHdr/SttlmInf/SttlmMtd</t>
  </si>
  <si>
    <t>1.10</t>
  </si>
  <si>
    <t>SttlmMtd</t>
  </si>
  <si>
    <t>Document/FIToFICstmrCdtTrf/GrpHdr/SttlmInf/SttlmMtd</t>
  </si>
  <si>
    <t>FIToFICstmrCdtTrf/GrpHdr/CreDtTm</t>
  </si>
  <si>
    <t>1.2</t>
  </si>
  <si>
    <t>CreDtTm</t>
  </si>
  <si>
    <t>Document/FIToFICstmrCdtTrf/GrpHdr/CreDtTm</t>
  </si>
  <si>
    <t>FIToFICstmrCdtTrf/GrpHdr/SttlmInf/ClrSys/Cd</t>
  </si>
  <si>
    <t>1.26</t>
  </si>
  <si>
    <t>Cd</t>
  </si>
  <si>
    <t>Document/FIToFICstmrCdtTrf/GrpHdr/SttlmInf/ClrSys/Cd</t>
  </si>
  <si>
    <t>1.32</t>
  </si>
  <si>
    <t xml:space="preserve">Direct Map </t>
  </si>
  <si>
    <t>FIToFICstmrCdtTrf/GrpHdr/NbOfTxs</t>
  </si>
  <si>
    <t>1.4</t>
  </si>
  <si>
    <t>NbOfTxs</t>
  </si>
  <si>
    <t>Document/FIToFICstmrCdtTrf/GrpHdr/NbOfTxs</t>
  </si>
  <si>
    <t>FIToFICstmrCdtTrf/GrpHdr/TtlIntrBkSttlmAmt</t>
  </si>
  <si>
    <t>1.6</t>
  </si>
  <si>
    <t>TtlIntrBkSttlmAmt</t>
  </si>
  <si>
    <t>Document/FIToFICstmrCdtTrf/GrpHdr/TtlIntrBkSttlmAmt</t>
  </si>
  <si>
    <t>FIToFICstmrCdtTrf/GrpHdr/TtlIntrBkSttlmAmt/@Ccy</t>
  </si>
  <si>
    <t>1.7</t>
  </si>
  <si>
    <t>Ccy</t>
  </si>
  <si>
    <t>Document/FIToFICstmrCdtTrf/GrpHdr/TtlIntrBkSttlmAmt/@Ccy</t>
  </si>
  <si>
    <t>FIToFICstmrCdtTrf/GrpHdr/IntrBkSttlmDt</t>
  </si>
  <si>
    <t>1.8</t>
  </si>
  <si>
    <t>IntrBkSttlmDt</t>
  </si>
  <si>
    <t>Document/FIToFICstmrCdtTrf/GrpHdr/IntrBkSttlmDt</t>
  </si>
  <si>
    <t>Transformed by system</t>
  </si>
  <si>
    <t>Transformed by System</t>
  </si>
  <si>
    <t>FIToFICstmrCdtTrf/CdtTrfTxInf/PmtId/InstrId</t>
  </si>
  <si>
    <t>2.2</t>
  </si>
  <si>
    <t>InstrId</t>
  </si>
  <si>
    <t>Document/FIToFICstmrCdtTrf/CdtTrfTxInf/PmtId/InstrId</t>
  </si>
  <si>
    <t>FIToFICstmrCdtTrf/CdtTrfTxInf/PmtId/EndToEndId</t>
  </si>
  <si>
    <t>2.3</t>
  </si>
  <si>
    <t>EndToEndId</t>
  </si>
  <si>
    <t>Document/FIToFICstmrCdtTrf/CdtTrfTxInf/PmtId/EndToEndId</t>
  </si>
  <si>
    <t>FIToFICstmrCdtTrf/CdtTrfTxInf/PmtId/TxId</t>
  </si>
  <si>
    <t>2.4</t>
  </si>
  <si>
    <t>TxId</t>
  </si>
  <si>
    <t>Document/FIToFICstmrCdtTrf/CdtTrfTxInf/PmtId/TxId</t>
  </si>
  <si>
    <t>FIToFICstmrCdtTrf/CdtTrfTxInf/PmtId/ClrSysRef</t>
  </si>
  <si>
    <t>2.5</t>
  </si>
  <si>
    <t>ClrSysRef</t>
  </si>
  <si>
    <t>Document/FIToFICstmrCdtTrf/CdtTrfTxInf/PmtId/ClrSysRef</t>
  </si>
  <si>
    <t>2.6</t>
  </si>
  <si>
    <t>FIToFICstmrCdtTrf/CdtTrfTxInf/PmtTpInf/SvcLvl/Cd</t>
  </si>
  <si>
    <t>2.10</t>
  </si>
  <si>
    <t>Document/FIToFICstmrCdtTrf/CdtTrfTxInf/PmtTpInf/SvcLvl/Cd</t>
  </si>
  <si>
    <t>2.11</t>
  </si>
  <si>
    <t>FIToFICstmrCdtTrf/CdtTrfTxInf/PmtTpInf/LclInstrm/Prtry</t>
  </si>
  <si>
    <t>2.14</t>
  </si>
  <si>
    <t>Prtry</t>
  </si>
  <si>
    <t>Document/FIToFICstmrCdtTrf/CdtTrfTxInf/PmtTpInf/LclInstrm/Prtry</t>
  </si>
  <si>
    <t>2.15</t>
  </si>
  <si>
    <t>See "LclInstr and CatPurp"</t>
  </si>
  <si>
    <t>Document/FIToFICstmrCdtTrf/CdtTrfTxInf/PmtTpInf/CtgyPurp/Prtry</t>
  </si>
  <si>
    <t>2.18</t>
  </si>
  <si>
    <t>NEW ELEMENT</t>
  </si>
  <si>
    <t>FIToFICstmrCdtTrf/CdtTrfTxInf/IntrBkSttlmAmt</t>
  </si>
  <si>
    <t>IntrBkSttlmAmt</t>
  </si>
  <si>
    <t>Document/FIToFICstmrCdtTrf/CdtTrfTxInf/IntrBkSttlmAmt</t>
  </si>
  <si>
    <t>2.19</t>
  </si>
  <si>
    <t>FIToFICstmrCdtTrf/CdtTrfTxInf/IntrBkSttlmAmt/@Ccy</t>
  </si>
  <si>
    <t>Document/FIToFICstmrCdtTrf/CdtTrfTxInf/IntrBkSttlmAmt/@Ccy</t>
  </si>
  <si>
    <t>2.20</t>
  </si>
  <si>
    <t>FIToFICstmrCdtTrf/CdtTrfTxInf/ChrgBr</t>
  </si>
  <si>
    <t>2.35</t>
  </si>
  <si>
    <t>ChrgBr</t>
  </si>
  <si>
    <t>Document/FIToFICstmrCdtTrf/CdtTrfTxInf/ChrgBr</t>
  </si>
  <si>
    <t>2.36</t>
  </si>
  <si>
    <t>FIToFICstmrCdtTrf/CdtTrfTxInf/InstgAgt/FinInstnId/ClrSysMmbId/MmbId</t>
  </si>
  <si>
    <t>2.140</t>
  </si>
  <si>
    <t>MmbId</t>
  </si>
  <si>
    <t>Document/FIToFICstmrCdtTrf/CdtTrfTxInf/InstgAgt/FinInstnId/ClrSysMmbId/MmbId</t>
  </si>
  <si>
    <t>2.360</t>
  </si>
  <si>
    <t>If includes an alphabetic character, reject with version incompatibility reason code</t>
  </si>
  <si>
    <t>FIToFICstmrCdtTrf/CdtTrfTxInf/InstdAgt/FinInstnId/ClrSysMmbId/MmbId</t>
  </si>
  <si>
    <t>2.180</t>
  </si>
  <si>
    <t>Document/FIToFICstmrCdtTrf/CdtTrfTxInf/InstdAgt/FinInstnId/ClrSysMmbId/MmbId</t>
  </si>
  <si>
    <t>2.424</t>
  </si>
  <si>
    <t xml:space="preserve">If includes an alphabetic character, reject with version incompatibility reason code </t>
  </si>
  <si>
    <t>Document/FIToFICstmrCdtTrf/CdtTrfTxInf/UltmtDbtr/Nm</t>
  </si>
  <si>
    <t>2.731</t>
  </si>
  <si>
    <t>Nm</t>
  </si>
  <si>
    <t>N/A</t>
  </si>
  <si>
    <r>
      <rPr>
        <sz val="11"/>
        <color rgb="FF000000"/>
        <rFont val="Calibri"/>
        <family val="2"/>
        <charset val="1"/>
      </rPr>
      <t>Append to Dbtr/Nm following value "OBO</t>
    </r>
    <r>
      <rPr>
        <sz val="11"/>
        <color rgb="FFFF0000"/>
        <rFont val="Calibri"/>
        <family val="2"/>
        <charset val="1"/>
      </rPr>
      <t>[space]</t>
    </r>
    <r>
      <rPr>
        <sz val="11"/>
        <color rgb="FF000000"/>
        <rFont val="Calibri"/>
        <family val="2"/>
        <charset val="1"/>
      </rPr>
      <t xml:space="preserve">". See Ultimate Party Sheet for details. </t>
    </r>
  </si>
  <si>
    <t>Document/FIToFICstmrCdtTrf/CdtTrfTxInf/UltmtDbtr/PstlAdr/StrtNm</t>
  </si>
  <si>
    <t>2.742</t>
  </si>
  <si>
    <t>StrtNm</t>
  </si>
  <si>
    <t xml:space="preserve">See Ultimate Parties for details. </t>
  </si>
  <si>
    <t>Document/FIToFICstmrCdtTrf/CdtTrfTxInf/UltmtDbtr/PstlAdr/BldgNb</t>
  </si>
  <si>
    <t>2.743</t>
  </si>
  <si>
    <t>BldgNb</t>
  </si>
  <si>
    <t>Document/FIToFICstmrCdtTrf/CdtTrfTxInf/UltmtDbtr/PstlAdr/PstCd</t>
  </si>
  <si>
    <t>2.747</t>
  </si>
  <si>
    <t>PstCd</t>
  </si>
  <si>
    <t>Document/FIToFICstmrCdtTrf/CdtTrfTxInf/UltmtDbtr/PstlAdr/TwnNm</t>
  </si>
  <si>
    <t>2.748</t>
  </si>
  <si>
    <t>TwnNm</t>
  </si>
  <si>
    <t>Document/FIToFICstmrCdtTrf/CdtTrfTxInf/UltmtDbtr/PstlAdr/CtrySubDvsn</t>
  </si>
  <si>
    <t>2.751</t>
  </si>
  <si>
    <t>CtrySubDvsn</t>
  </si>
  <si>
    <t>Document/FIToFICstmrCdtTrf/CdtTrfTxInf/UltmtDbtr/PstlAdr/Ctry</t>
  </si>
  <si>
    <t>2.752</t>
  </si>
  <si>
    <t>Ctry</t>
  </si>
  <si>
    <t>Document/FIToFICstmrCdtTrf/CdtTrfTxInf/UltmtDbtr/PstlAdr/AdrLine</t>
  </si>
  <si>
    <t>2.753</t>
  </si>
  <si>
    <t>AdrLine</t>
  </si>
  <si>
    <t>Document/FIToFICstmrCdtTrf/CdtTrfTxInf/UltmtDbtr/Id/OrgId/LEI</t>
  </si>
  <si>
    <t>2.757</t>
  </si>
  <si>
    <t>LEI</t>
  </si>
  <si>
    <t>Append to Debtor Name (see Ultimate Parties for details)</t>
  </si>
  <si>
    <t>Document/FIToFICstmrCdtTrf/CdtTrfTxInf/UltmtDbtr/Id/PrvtId/Othr/Id</t>
  </si>
  <si>
    <t>2.771</t>
  </si>
  <si>
    <t>Id</t>
  </si>
  <si>
    <t>Document/FIToFICstmrCdtTrf/CdtTrfTxInf/InitgPty/Nm</t>
  </si>
  <si>
    <t>2.793</t>
  </si>
  <si>
    <t>Drop</t>
  </si>
  <si>
    <t>FIToFICstmrCdtTrf/CdtTrfTxInf/Dbtr/Nm</t>
  </si>
  <si>
    <t>2.462</t>
  </si>
  <si>
    <t>Document/FIToFICstmrCdtTrf/CdtTrfTxInf/Dbtr/Nm</t>
  </si>
  <si>
    <t>2.855</t>
  </si>
  <si>
    <t>Direct Map (see ult debtor)</t>
  </si>
  <si>
    <t>FIToFICstmrCdtTrf/CdtTrfTxInf/Dbtr/PstlAdr/StrtNm</t>
  </si>
  <si>
    <t>2.467</t>
  </si>
  <si>
    <t>Document/FIToFICstmrCdtTrf/CdtTrfTxInf/Dbtr/PstlAdr/StrtNm</t>
  </si>
  <si>
    <t>2.866</t>
  </si>
  <si>
    <t>FIToFICstmrCdtTrf/CdtTrfTxInf/Dbtr/PstlAdr/BldgNb</t>
  </si>
  <si>
    <t>2.468</t>
  </si>
  <si>
    <t>Document/FIToFICstmrCdtTrf/CdtTrfTxInf/Dbtr/PstlAdr/BldgNb</t>
  </si>
  <si>
    <t>2.867</t>
  </si>
  <si>
    <t>FIToFICstmrCdtTrf/CdtTrfTxInf/Dbtr/PstlAdr/PstCd</t>
  </si>
  <si>
    <t>2.469</t>
  </si>
  <si>
    <t>Document/FIToFICstmrCdtTrf/CdtTrfTxInf/Dbtr/PstlAdr/PstCd</t>
  </si>
  <si>
    <t>2.871</t>
  </si>
  <si>
    <t>FIToFICstmrCdtTrf/CdtTrfTxInf/Dbtr/PstlAdr/TwnNm</t>
  </si>
  <si>
    <t>2.470</t>
  </si>
  <si>
    <t>Document/FIToFICstmrCdtTrf/CdtTrfTxInf/Dbtr/PstlAdr/TwnNm</t>
  </si>
  <si>
    <t>2.872</t>
  </si>
  <si>
    <t>Document/FIToFICstmrCdtTrf/CdtTrfTxInf/Dbtr/PstlAdr/CtrySubDvsn</t>
  </si>
  <si>
    <t>2.875</t>
  </si>
  <si>
    <t>Populate 2.9 with "[space]"</t>
  </si>
  <si>
    <r>
      <rPr>
        <sz val="11"/>
        <color rgb="FF000000"/>
        <rFont val="Calibri"/>
        <family val="2"/>
        <charset val="1"/>
      </rPr>
      <t xml:space="preserve">Map to "Dbtr/PstlAdr/TwnNm" </t>
    </r>
    <r>
      <rPr>
        <sz val="11"/>
        <color rgb="FFFF0000"/>
        <rFont val="Calibri"/>
        <family val="2"/>
        <charset val="1"/>
      </rPr>
      <t xml:space="preserve">as "TwnNm, CntrySubDvsn". Note the ",[space]".  Truncate resultant value as necessary. </t>
    </r>
  </si>
  <si>
    <t>FIToFICstmrCdtTrf/CdtTrfTxInf/Dbtr/PstlAdr/Ctry</t>
  </si>
  <si>
    <t>2.472</t>
  </si>
  <si>
    <t>Document/FIToFICstmrCdtTrf/CdtTrfTxInf/Dbtr/PstlAdr/Ctry</t>
  </si>
  <si>
    <t>2.876</t>
  </si>
  <si>
    <t>Document/FIToFICstmrCdtTrf/CdtTrfTxInf/Dbtr/PstlAdr/AdrLine</t>
  </si>
  <si>
    <t>2.877</t>
  </si>
  <si>
    <r>
      <rPr>
        <sz val="11"/>
        <color rgb="FF000000"/>
        <rFont val="Calibri"/>
        <family val="2"/>
        <charset val="1"/>
      </rPr>
      <t xml:space="preserve">Map to "Dbtr/PstlAdr/StrtNm" </t>
    </r>
    <r>
      <rPr>
        <sz val="11"/>
        <color rgb="FFFF0000"/>
        <rFont val="Calibri"/>
        <family val="2"/>
        <charset val="1"/>
      </rPr>
      <t xml:space="preserve">as "StrtNmAdrLine". </t>
    </r>
    <r>
      <rPr>
        <sz val="11"/>
        <color rgb="FFFF0000"/>
        <rFont val="Calibri"/>
        <family val="2"/>
      </rPr>
      <t>No delimiter required.</t>
    </r>
    <r>
      <rPr>
        <sz val="11"/>
        <color rgb="FFFF0000"/>
        <rFont val="Calibri"/>
        <family val="2"/>
        <charset val="1"/>
      </rPr>
      <t xml:space="preserve"> Truncate resultant value as necessary. </t>
    </r>
  </si>
  <si>
    <t>Document/FIToFICstmrCdtTrf/CdtTrfTxInf/Dbtr/Id/OrgId/LEI</t>
  </si>
  <si>
    <t>2.881</t>
  </si>
  <si>
    <t>FIToFICstmrCdtTrf/CdtTrfTxInf/Dbtr/Id/PrvtId/DtAndPlcOfBirth/BirthDt</t>
  </si>
  <si>
    <t>2.485</t>
  </si>
  <si>
    <t>BirthDt</t>
  </si>
  <si>
    <t>Document/FIToFICstmrCdtTrf/CdtTrfTxInf/Dbtr/Id/PrvtId/DtAndPlcOfBirth/BirthDt</t>
  </si>
  <si>
    <t>2.890</t>
  </si>
  <si>
    <t>FIToFICstmrCdtTrf/CdtTrfTxInf/Dbtr/Id/PrvtId/DtAndPlcOfBirth/CityOfBirth</t>
  </si>
  <si>
    <t>2.487</t>
  </si>
  <si>
    <t>CityOfBirth</t>
  </si>
  <si>
    <t>Document/FIToFICstmrCdtTrf/CdtTrfTxInf/Dbtr/Id/PrvtId/DtAndPlcOfBirth/CityOfBirth</t>
  </si>
  <si>
    <t>2.892</t>
  </si>
  <si>
    <t>FIToFICstmrCdtTrf/CdtTrfTxInf/Dbtr/Id/PrvtId/DtAndPlcOfBirth/CtryOfBirth</t>
  </si>
  <si>
    <t>2.488</t>
  </si>
  <si>
    <t>CtryOfBirth</t>
  </si>
  <si>
    <t>Document/FIToFICstmrCdtTrf/CdtTrfTxInf/Dbtr/Id/PrvtId/DtAndPlcOfBirth/CtryOfBirth</t>
  </si>
  <si>
    <t>2.893</t>
  </si>
  <si>
    <t>FIToFICstmrCdtTrf/CdtTrfTxInf/DbtrAcct/Id/Othr/Id</t>
  </si>
  <si>
    <t>2.508</t>
  </si>
  <si>
    <t>Document/FIToFICstmrCdtTrf/CdtTrfTxInf/DbtrAcct/Id/Othr/Id</t>
  </si>
  <si>
    <t>2.920</t>
  </si>
  <si>
    <r>
      <rPr>
        <sz val="11"/>
        <color rgb="FF000000"/>
        <rFont val="Calibri"/>
        <family val="2"/>
        <charset val="1"/>
      </rPr>
      <t xml:space="preserve">If greater than 17 characters, reject </t>
    </r>
    <r>
      <rPr>
        <sz val="11"/>
        <color rgb="FFFF0000"/>
        <rFont val="Calibri"/>
        <family val="2"/>
        <charset val="1"/>
      </rPr>
      <t>with version incompatibility reason code</t>
    </r>
  </si>
  <si>
    <t>FIToFICstmrCdtTrf/CdtTrfTxInf/DbtrAgt/FinInstnId/ClrSysMmbId/MmbId</t>
  </si>
  <si>
    <t>2.525</t>
  </si>
  <si>
    <t>Document/FIToFICstmrCdtTrf/CdtTrfTxInf/DbtrAgt/FinInstnId/ClrSysMmbId/MmbId</t>
  </si>
  <si>
    <t>2.942</t>
  </si>
  <si>
    <t>FIToFICstmrCdtTrf/CdtTrfTxInf/CdtrAgt/FinInstnId/ClrSysMmbId/MmbId</t>
  </si>
  <si>
    <t>2.579</t>
  </si>
  <si>
    <t>Document/FIToFICstmrCdtTrf/CdtTrfTxInf/CdtrAgt/FinInstnId/ClrSysMmbId/MmbId</t>
  </si>
  <si>
    <t>2.1025</t>
  </si>
  <si>
    <t>FIToFICstmrCdtTrf/CdtTrfTxInf/Cdtr/Nm</t>
  </si>
  <si>
    <t>2.627</t>
  </si>
  <si>
    <t>Document/FIToFICstmrCdtTrf/CdtTrfTxInf/Cdtr/Nm</t>
  </si>
  <si>
    <t>2.1102</t>
  </si>
  <si>
    <t>Direct Map (see ult creditor)</t>
  </si>
  <si>
    <t>FIToFICstmrCdtTrf/CdtTrfTxInf/Cdtr/PstlAdr/StrtNm</t>
  </si>
  <si>
    <t>2.632</t>
  </si>
  <si>
    <t>Document/FIToFICstmrCdtTrf/CdtTrfTxInf/Cdtr/PstlAdr/StrtNm</t>
  </si>
  <si>
    <t>2.1113</t>
  </si>
  <si>
    <t>FIToFICstmrCdtTrf/CdtTrfTxInf/Cdtr/PstlAdr/BldgNb</t>
  </si>
  <si>
    <t>2.633</t>
  </si>
  <si>
    <t>Document/FIToFICstmrCdtTrf/CdtTrfTxInf/Cdtr/PstlAdr/BldgNb</t>
  </si>
  <si>
    <t>2.1114</t>
  </si>
  <si>
    <t>FIToFICstmrCdtTrf/CdtTrfTxInf/Cdtr/PstlAdr/PstCd</t>
  </si>
  <si>
    <t>2.634</t>
  </si>
  <si>
    <t>Document/FIToFICstmrCdtTrf/CdtTrfTxInf/Cdtr/PstlAdr/PstCd</t>
  </si>
  <si>
    <t>2.1118</t>
  </si>
  <si>
    <t>FIToFICstmrCdtTrf/CdtTrfTxInf/Cdtr/PstlAdr/TwnNm</t>
  </si>
  <si>
    <t>2.635</t>
  </si>
  <si>
    <t>Document/FIToFICstmrCdtTrf/CdtTrfTxInf/Cdtr/PstlAdr/TwnNm</t>
  </si>
  <si>
    <t>2.1119</t>
  </si>
  <si>
    <t>Document/FIToFICstmrCdtTrf/CdtTrfTxInf/Cdtr/PstlAdr/CtrySubDvsn</t>
  </si>
  <si>
    <t>2.1122</t>
  </si>
  <si>
    <r>
      <rPr>
        <sz val="11"/>
        <color rgb="FF000000"/>
        <rFont val="Calibri"/>
        <family val="2"/>
        <charset val="1"/>
      </rPr>
      <t xml:space="preserve">Map to "Crdtr/PstlAdr/TwnNm" as "TwnNm, CntrySubDvsn". Note the ",[space]". </t>
    </r>
    <r>
      <rPr>
        <sz val="11"/>
        <color rgb="FFFF0000"/>
        <rFont val="Calibri"/>
        <family val="2"/>
        <charset val="1"/>
      </rPr>
      <t xml:space="preserve"> Truncate resultant value as necessary. </t>
    </r>
  </si>
  <si>
    <t>FIToFICstmrCdtTrf/CdtTrfTxInf/Cdtr/PstlAdr/Ctry</t>
  </si>
  <si>
    <t>2.637</t>
  </si>
  <si>
    <t>Document/FIToFICstmrCdtTrf/CdtTrfTxInf/Cdtr/PstlAdr/Ctry</t>
  </si>
  <si>
    <t>2.1123</t>
  </si>
  <si>
    <t>Document/FIToFICstmrCdtTrf/CdtTrfTxInf/Cdtr/PstlAdr/AdrLine</t>
  </si>
  <si>
    <t>2.1124</t>
  </si>
  <si>
    <r>
      <rPr>
        <sz val="11"/>
        <color rgb="FF000000"/>
        <rFont val="Calibri"/>
        <family val="2"/>
        <charset val="1"/>
      </rPr>
      <t>Map to "Crdtr/PstlAdr/StrtNm"</t>
    </r>
    <r>
      <rPr>
        <sz val="11"/>
        <color rgb="FFFF0000"/>
        <rFont val="Calibri"/>
        <family val="2"/>
        <charset val="1"/>
      </rPr>
      <t xml:space="preserve"> as "StrtNmAdrLine". No delimiter required. Truncate resultant value as necessary. </t>
    </r>
  </si>
  <si>
    <t>Document/FIToFICstmrCdtTrf/CdtTrfTxInf/Cdtr/Id/OrgId/LEI</t>
  </si>
  <si>
    <t>2.1128</t>
  </si>
  <si>
    <t>FIToFICstmrCdtTrf/CdtTrfTxInf/Cdtr/Id/PrvtId/DtAndPlcOfBirth/BirthDt</t>
  </si>
  <si>
    <t>2.650</t>
  </si>
  <si>
    <t>Document/FIToFICstmrCdtTrf/CdtTrfTxInf/Cdtr/Id/PrvtId/DtAndPlcOfBirth/BirthDt</t>
  </si>
  <si>
    <t>2.1137</t>
  </si>
  <si>
    <t>FIToFICstmrCdtTrf/CdtTrfTxInf/Cdtr/Id/PrvtId/DtAndPlcOfBirth/CityOfBirth</t>
  </si>
  <si>
    <t>2.652</t>
  </si>
  <si>
    <t>Document/FIToFICstmrCdtTrf/CdtTrfTxInf/Cdtr/Id/PrvtId/DtAndPlcOfBirth/CityOfBirth</t>
  </si>
  <si>
    <t>2.1139</t>
  </si>
  <si>
    <t>FIToFICstmrCdtTrf/CdtTrfTxInf/Cdtr/Id/PrvtId/DtAndPlcOfBirth/CtryOfBirth</t>
  </si>
  <si>
    <t>2.653</t>
  </si>
  <si>
    <t>Document/FIToFICstmrCdtTrf/CdtTrfTxInf/Cdtr/Id/PrvtId/DtAndPlcOfBirth/CtryOfBirth</t>
  </si>
  <si>
    <t>2.1140</t>
  </si>
  <si>
    <t>FIToFICstmrCdtTrf/CdtTrfTxInf/CdtrAcct/Id/Othr/Id</t>
  </si>
  <si>
    <t>2.673</t>
  </si>
  <si>
    <t>Document/FIToFICstmrCdtTrf/CdtTrfTxInf/CdtrAcct/Id/Othr/Id</t>
  </si>
  <si>
    <t>2.1167</t>
  </si>
  <si>
    <t>Document/FIToFICstmrCdtTrf/CdtTrfTxInf/CdtrAcct/Prxy/Id</t>
  </si>
  <si>
    <t>2.1181</t>
  </si>
  <si>
    <t>Document/FIToFICstmrCdtTrf/CdtTrfTxInf/UltmtCdtr/Nm</t>
  </si>
  <si>
    <t>2.1183</t>
  </si>
  <si>
    <r>
      <rPr>
        <sz val="11"/>
        <color rgb="FF000000"/>
        <rFont val="Calibri"/>
        <family val="2"/>
        <charset val="1"/>
      </rPr>
      <t>Append to Cdtr</t>
    </r>
    <r>
      <rPr>
        <sz val="11"/>
        <color rgb="FFFF0000"/>
        <rFont val="Calibri"/>
        <family val="2"/>
        <charset val="1"/>
      </rPr>
      <t>/</t>
    </r>
    <r>
      <rPr>
        <sz val="11"/>
        <color rgb="FF000000"/>
        <rFont val="Calibri"/>
        <family val="2"/>
        <charset val="1"/>
      </rPr>
      <t xml:space="preserve">Nm following value </t>
    </r>
    <r>
      <rPr>
        <sz val="11"/>
        <color rgb="FFFF0000"/>
        <rFont val="Calibri"/>
        <family val="2"/>
        <charset val="1"/>
      </rPr>
      <t xml:space="preserve">"FBO[space]". See Ultimate Party Sheet for details. </t>
    </r>
  </si>
  <si>
    <t>Document/FIToFICstmrCdtTrf/CdtTrfTxInf/UltmtCdtr/PstlAdr/StrtNm</t>
  </si>
  <si>
    <t>2.1194</t>
  </si>
  <si>
    <t>Document/FIToFICstmrCdtTrf/CdtTrfTxInf/UltmtCdtr/PstlAdr/BldgNb</t>
  </si>
  <si>
    <t>2.1195</t>
  </si>
  <si>
    <t>Document/FIToFICstmrCdtTrf/CdtTrfTxInf/UltmtCdtr/PstlAdr/PstCd</t>
  </si>
  <si>
    <t>2.1199</t>
  </si>
  <si>
    <t>Document/FIToFICstmrCdtTrf/CdtTrfTxInf/UltmtCdtr/PstlAdr/TwnNm</t>
  </si>
  <si>
    <t>2.1200</t>
  </si>
  <si>
    <t>Document/FIToFICstmrCdtTrf/CdtTrfTxInf/UltmtCdtr/PstlAdr/CtrySubDvsn</t>
  </si>
  <si>
    <t>2.1203</t>
  </si>
  <si>
    <t>Document/FIToFICstmrCdtTrf/CdtTrfTxInf/UltmtCdtr/PstlAdr/Ctry</t>
  </si>
  <si>
    <t>2.1204</t>
  </si>
  <si>
    <t>Document/FIToFICstmrCdtTrf/CdtTrfTxInf/UltmtCdtr/PstlAdr/AdrLine</t>
  </si>
  <si>
    <t>2.1205</t>
  </si>
  <si>
    <t>Document/FIToFICstmrCdtTrf/CdtTrfTxInf/UltmtCdtr/Id/OrgId/LEI</t>
  </si>
  <si>
    <t>2.1209</t>
  </si>
  <si>
    <t>Append to Creditor Name (see Ultimate Parties for details)</t>
  </si>
  <si>
    <t>Document/FIToFICstmrCdtTrf/CdtTrfTxInf/UltmtCdtr/Id/PrvtId/Othr/Id</t>
  </si>
  <si>
    <t>2.1223</t>
  </si>
  <si>
    <t>Document/FIToFICstmrCdtTrf/CdtTrfTxInf/InstrForCdtrAgt/Cd</t>
  </si>
  <si>
    <t>2.1245</t>
  </si>
  <si>
    <t>Document/FIToFICstmrCdtTrf/CdtTrfTxInf/InstrForCdtrAgt/InstrInf</t>
  </si>
  <si>
    <t>2.1246</t>
  </si>
  <si>
    <t>InstrInf</t>
  </si>
  <si>
    <t>FIToFICstmrCdtTrf/CdtTrfTxInf/RltdRmtInf/RmtId</t>
  </si>
  <si>
    <t>2.799</t>
  </si>
  <si>
    <t>RmtId</t>
  </si>
  <si>
    <t>Document/FIToFICstmrCdtTrf/CdtTrfTxInf/RltdRmtInf/RmtId</t>
  </si>
  <si>
    <t>2.1317</t>
  </si>
  <si>
    <t>FIToFICstmrCdtTrf/CdtTrfTxInf/RltdRmtInf/RmtLctnDtls/Mtd</t>
  </si>
  <si>
    <t>2.801</t>
  </si>
  <si>
    <t>Mtd</t>
  </si>
  <si>
    <t>Document/FIToFICstmrCdtTrf/CdtTrfTxInf/RltdRmtInf/RmtLctnDtls/Mtd</t>
  </si>
  <si>
    <t>2.1319</t>
  </si>
  <si>
    <t>FIToFICstmrCdtTrf/CdtTrfTxInf/RltdRmtInf/RmtLctnDtls/ElctrncAdr</t>
  </si>
  <si>
    <t>2.802</t>
  </si>
  <si>
    <t>ElctrncAdr</t>
  </si>
  <si>
    <t>Document/FIToFICstmrCdtTrf/CdtTrfTxInf/RltdRmtInf/RmtLctnDtls/ElctrncAdr</t>
  </si>
  <si>
    <t>2.1320</t>
  </si>
  <si>
    <t>See Zelle Credit Transfer. Otherwise, Direct Map</t>
  </si>
  <si>
    <t>FIToFICstmrCdtTrf/CdtTrfTxInf/RmtInf/Ustrd</t>
  </si>
  <si>
    <t>2.817</t>
  </si>
  <si>
    <t>Ustrd</t>
  </si>
  <si>
    <t>Document/FIToFICstmrCdtTrf/CdtTrfTxInf/RmtInf/Ustrd</t>
  </si>
  <si>
    <t>2.1346</t>
  </si>
  <si>
    <t>Direct Map (see Ultimate Parties for details)</t>
  </si>
  <si>
    <t>FIToFICstmrCdtTrf/CdtTrfTxInf/RmtInf/Strd/RfrdDocInf/Nb</t>
  </si>
  <si>
    <t>2.825</t>
  </si>
  <si>
    <t>Nb</t>
  </si>
  <si>
    <t>Document/FIToFICstmrCdtTrf/CdtTrfTxInf/RmtInf/Strd/RfrdDocInf/Nb</t>
  </si>
  <si>
    <t>2.1354</t>
  </si>
  <si>
    <t>FIToFICstmrCdtTrf/CdtTrfTxInf/RmtInf/Strd/RfrdDocInf/RltdDt</t>
  </si>
  <si>
    <t>2.826</t>
  </si>
  <si>
    <t>RltdDt</t>
  </si>
  <si>
    <t>Document/FIToFICstmrCdtTrf/CdtTrfTxInf/RmtInf/Strd/RfrdDocInf/RltdDt</t>
  </si>
  <si>
    <t>2.1355</t>
  </si>
  <si>
    <t>Document/FIToFICstmrCdtTrf/CdtTrfTxInf/RmtInf/Strd/RfrdDocAmt/DscntApldAmt/Tp/Prtry</t>
  </si>
  <si>
    <t>2.1397</t>
  </si>
  <si>
    <t>Document/FIToFICstmrCdtTrf/CdtTrfTxInf/RmtInf/Strd/RfrdDocAmt/DscntApldAmt/Amt</t>
  </si>
  <si>
    <t>2.1398</t>
  </si>
  <si>
    <t>Amt</t>
  </si>
  <si>
    <t>Document/FIToFICstmrCdtTrf/CdtTrfTxInf/RmtInf/Strd/RfrdDocAmt/DscntApldAmt/Amt/@Ccy</t>
  </si>
  <si>
    <t>2.1399</t>
  </si>
  <si>
    <t>Direct Map (ZELLE)</t>
  </si>
  <si>
    <t>Populate 2.9 with "CONSUMER"</t>
  </si>
  <si>
    <t>Map to first 64 characters of RmtLctnDtls/ElctrncAdr (if less than 64 characters pad to the right with spaces). Set Remittance Location Details Code to URID.</t>
  </si>
  <si>
    <t xml:space="preserve">Map to "Dbtr/PstlAdr/TwnNm" and follow value populted. Include ", VALUE". </t>
  </si>
  <si>
    <t xml:space="preserve">Map to "Dbtr/PstlAdr/StrtNm". Follow the value provided in StrtNm. Truncate this as necessary. </t>
  </si>
  <si>
    <t>N/A (if present, drop)</t>
  </si>
  <si>
    <t xml:space="preserve">If greater than 17 characters, reject message. </t>
  </si>
  <si>
    <t xml:space="preserve">Map to "Crdtr/PstlAdr/TwnNm" as "TwnNm, CntrySubDvsn". Note the ",[space]". Truncate CntrySubDvsn as necessary. </t>
  </si>
  <si>
    <t xml:space="preserve">Map to "Crdtr/PstlAdr/StrtNm". Follow the value provided in StrtNm. Truncate AddressLine as necessary. </t>
  </si>
  <si>
    <t>Direct Map (URID)</t>
  </si>
  <si>
    <t xml:space="preserve">Take first 64 characters of remittance location details and populate Initiating Party ID (index 2.293) in 2.9 message. 
Any remaining information should be directly mapped to ElctrnAdr in the 2.9 message. </t>
  </si>
  <si>
    <t xml:space="preserve">Direct map to position 65-2048 in the 2.8 message. Truncate as necessary. (See initiating party for more info). </t>
  </si>
  <si>
    <t>Additional Notes</t>
  </si>
  <si>
    <t>2.8 to 2.9 mapping</t>
  </si>
  <si>
    <t>2.9 to 2.8 mapping</t>
  </si>
  <si>
    <t>FIToFIPmtStsRpt/GrpHdr/MsgId</t>
  </si>
  <si>
    <t>FIToFIPmtStsRpt/GrpHdr/CreDtTm</t>
  </si>
  <si>
    <t>FIToFIPmtStsRpt/OrgnlGrpInfAndSts/OrgnlMsgId</t>
  </si>
  <si>
    <t>2.1</t>
  </si>
  <si>
    <t>OrgnlMsgId</t>
  </si>
  <si>
    <t>FIToFIPmtStsRpt/OrgnlGrpInfAndSts/OrgnlMsgNmId</t>
  </si>
  <si>
    <t>OrgnlMsgNmId</t>
  </si>
  <si>
    <t>See "Message Names"</t>
  </si>
  <si>
    <t>FIToFIPmtStsRpt/OrgnlGrpInfAndSts/OrgnlCreDtTm</t>
  </si>
  <si>
    <t>OrgnlCreDtTm</t>
  </si>
  <si>
    <t>FIToFIPmtStsRpt/OrgnlGrpInfAndSts/OrgnlNbOfTxs</t>
  </si>
  <si>
    <t>OrgnlNbOfTxs</t>
  </si>
  <si>
    <t>FIToFIPmtStsRpt/TxInfAndSts/OrgnlInstrId</t>
  </si>
  <si>
    <t>3.6</t>
  </si>
  <si>
    <t>OrgnlInstrId</t>
  </si>
  <si>
    <t>FIToFIPmtStsRpt/TxInfAndSts/OrgnlTxId</t>
  </si>
  <si>
    <t>3.8</t>
  </si>
  <si>
    <t>OrgnlTxId</t>
  </si>
  <si>
    <t>FIToFIPmtStsRpt/TxInfAndSts/TxSts</t>
  </si>
  <si>
    <t>3.9</t>
  </si>
  <si>
    <t>TxSts</t>
  </si>
  <si>
    <t>3.10</t>
  </si>
  <si>
    <t>FIToFIPmtStsRpt/TxInfAndSts/StsRsnInf/Rsn/Cd</t>
  </si>
  <si>
    <t>3.55</t>
  </si>
  <si>
    <t>3.75</t>
  </si>
  <si>
    <t>See "Reason Codes"</t>
  </si>
  <si>
    <t>FIToFIPmtStsRpt/TxInfAndSts/StsRsnInf/Rsn/Prtry</t>
  </si>
  <si>
    <t>3.56</t>
  </si>
  <si>
    <t>3.76</t>
  </si>
  <si>
    <t xml:space="preserve">See "Reason Codes" </t>
  </si>
  <si>
    <t>FIToFIPmtStsRpt/TxInfAndSts/StsRsnInf/AddtlInf</t>
  </si>
  <si>
    <t>3.57</t>
  </si>
  <si>
    <t>AddtlInf</t>
  </si>
  <si>
    <t>3.77</t>
  </si>
  <si>
    <t>FIToFIPmtStsRpt/TxInfAndSts/AccptncDtTm</t>
  </si>
  <si>
    <t>3.101</t>
  </si>
  <si>
    <t>AccptncDtTm</t>
  </si>
  <si>
    <t>3.145</t>
  </si>
  <si>
    <t>FIToFIPmtStsRpt/TxInfAndSts/ClrSysRef</t>
  </si>
  <si>
    <t>3.103</t>
  </si>
  <si>
    <t>3.150</t>
  </si>
  <si>
    <t>FIToFIPmtStsRpt/TxInfAndSts/InstgAgt/FinInstnId/ClrSysMmbId/MmbId</t>
  </si>
  <si>
    <t>3.111</t>
  </si>
  <si>
    <t>3.158</t>
  </si>
  <si>
    <t xml:space="preserve">Direct Map. If includes an alphabetic character, reject with version incompatibility reason code. </t>
  </si>
  <si>
    <t>FIToFIPmtStsRpt/TxInfAndSts/InstdAgt/FinInstnId/ClrSysMmbId/MmbId</t>
  </si>
  <si>
    <t>3.151</t>
  </si>
  <si>
    <t>3.222</t>
  </si>
  <si>
    <t>FIToFIPmtStsRpt/TxInfAndSts/OrgnlTxRef/IntrBkSttlmAmt</t>
  </si>
  <si>
    <t>3.185</t>
  </si>
  <si>
    <t>3.280</t>
  </si>
  <si>
    <t>FIToFIPmtStsRpt/TxInfAndSts/OrgnlTxRef/IntrBkSttlmAmt/@Ccy</t>
  </si>
  <si>
    <t>3.186</t>
  </si>
  <si>
    <t>3.281</t>
  </si>
  <si>
    <t>FIToFIPmtStsRpt/TxInfAndSts/OrgnlTxRef/IntrBkSttlmDt</t>
  </si>
  <si>
    <t>3.194</t>
  </si>
  <si>
    <t>3.289</t>
  </si>
  <si>
    <t>CdtrPmtActvtnReq/GrpHdr/MsgId</t>
  </si>
  <si>
    <t>CdtrPmtActvtnReq/GrpHdr/CreDtTm</t>
  </si>
  <si>
    <t>CdtrPmtActvtnReq/GrpHdr/NbOfTxs</t>
  </si>
  <si>
    <t>1.3</t>
  </si>
  <si>
    <t>CdtrPmtActvtnReq/GrpHdr/InitgPty/Id/OrgId/Othr/Id</t>
  </si>
  <si>
    <t>1.22</t>
  </si>
  <si>
    <t>1.34</t>
  </si>
  <si>
    <t>CdtrPmtActvtnReq/PmtInf/PmtInfId</t>
  </si>
  <si>
    <t>PmtInfId</t>
  </si>
  <si>
    <t>CdtrPmtActvtnReq/PmtInf/PmtMtd</t>
  </si>
  <si>
    <t>PmtMtd</t>
  </si>
  <si>
    <t>CdtrPmtActvtnReq/PmtInf/ReqdExctnDt</t>
  </si>
  <si>
    <t>ReqdExctnDt</t>
  </si>
  <si>
    <t>CdtrPmtActvtnReq/PmtInf/ReqdExctnDt/Dt</t>
  </si>
  <si>
    <t>Dt</t>
  </si>
  <si>
    <t>CdtrPmtActvtnReq/PmtInf/ReqdExctnDt/DtTm</t>
  </si>
  <si>
    <t>2.16</t>
  </si>
  <si>
    <t>DtTm</t>
  </si>
  <si>
    <t xml:space="preserve">Truncate to Dt and Map to ReqdExctnDt/Dt </t>
  </si>
  <si>
    <t>CdtrPmtActvtnReq/PmtInf/XpryDt/Dt</t>
  </si>
  <si>
    <t>Populate with ReqExecution Date</t>
  </si>
  <si>
    <t>CdtrPmtActvtnReq/PmtInf/XpryDt/DtTm</t>
  </si>
  <si>
    <t>CdtrPmtActvtnReq/PmtInf/Dbtr/Nm</t>
  </si>
  <si>
    <t>2.30</t>
  </si>
  <si>
    <t>CdtrPmtActvtnReq/PmtInf/Dbtr/PstlAdr/StrtNm</t>
  </si>
  <si>
    <t>2.21</t>
  </si>
  <si>
    <t>2.41</t>
  </si>
  <si>
    <t>CdtrPmtActvtnReq/PmtInf/Dbtr/PstlAdr/BldgNb</t>
  </si>
  <si>
    <t>2.22</t>
  </si>
  <si>
    <t>2.42</t>
  </si>
  <si>
    <t>CdtrPmtActvtnReq/PmtInf/Dbtr/PstlAdr/PstCd</t>
  </si>
  <si>
    <t>2.23</t>
  </si>
  <si>
    <t>2.46</t>
  </si>
  <si>
    <t>CdtrPmtActvtnReq/PmtInf/Dbtr/PstlAdr/TwnNm</t>
  </si>
  <si>
    <t>2.24</t>
  </si>
  <si>
    <t>2.47</t>
  </si>
  <si>
    <t>CdtrPmtActvtnReq/PmtInf/Dbtr/PstlAdr/CtrySubDvsn</t>
  </si>
  <si>
    <t>2.50</t>
  </si>
  <si>
    <t>Populate 2.9 with [space]</t>
  </si>
  <si>
    <t>CdtrPmtActvtnReq/PmtInf/Dbtr/PstlAdr/Ctry</t>
  </si>
  <si>
    <t>2.26</t>
  </si>
  <si>
    <t>2.51</t>
  </si>
  <si>
    <t>CdtrPmtActvtnReq/PmtInf/Dbtr/PstlAdr/AdrLine</t>
  </si>
  <si>
    <t>2.52</t>
  </si>
  <si>
    <t>CdtrPmtActvtnReq/PmtInf/Dbtr/Id/OrgId/LEI</t>
  </si>
  <si>
    <t>2.56</t>
  </si>
  <si>
    <t>CdtrPmtActvtnReq/PmtInf/Dbtr/Id/PrvtId/DtAndPlcOfBirth/BirthDt</t>
  </si>
  <si>
    <t>2.39</t>
  </si>
  <si>
    <t>2.65</t>
  </si>
  <si>
    <t>CdtrPmtActvtnReq/PmtInf/Dbtr/Id/PrvtId/DtAndPlcOfBirth/CityOfBirth</t>
  </si>
  <si>
    <t>2.67</t>
  </si>
  <si>
    <t>CdtrPmtActvtnReq/PmtInf/Dbtr/Id/PrvtId/DtAndPlcOfBirth/CtryOfBirth</t>
  </si>
  <si>
    <t>2.68</t>
  </si>
  <si>
    <t>CdtrPmtActvtnReq/PmtInf/DbtrAcct/Id/Othr/Id</t>
  </si>
  <si>
    <t>2.62</t>
  </si>
  <si>
    <t>2.95</t>
  </si>
  <si>
    <r>
      <rPr>
        <sz val="11"/>
        <color rgb="FF000000"/>
        <rFont val="Calibri"/>
        <family val="2"/>
        <charset val="1"/>
      </rPr>
      <t>If greater than 17 characters, reject message</t>
    </r>
    <r>
      <rPr>
        <sz val="11"/>
        <color rgb="FFFF0000"/>
        <rFont val="Calibri"/>
        <family val="2"/>
      </rPr>
      <t>, reject with version incompatibility reason code.</t>
    </r>
  </si>
  <si>
    <t>CdtrPmtActvtnReq/PmtInf/DbtrAcct/Prxy/Id</t>
  </si>
  <si>
    <t>2.109</t>
  </si>
  <si>
    <t>CdtrPmtActvtnReq/PmtInf/DbtrAgt/FinInstnId/ClrSysMmbId/MmbId</t>
  </si>
  <si>
    <t>2.79</t>
  </si>
  <si>
    <t>2.117</t>
  </si>
  <si>
    <r>
      <rPr>
        <sz val="11"/>
        <rFont val="Calibri"/>
        <family val="2"/>
        <charset val="1"/>
      </rPr>
      <t>Direct Map. If includes an alphabetic character</t>
    </r>
    <r>
      <rPr>
        <sz val="11"/>
        <color rgb="FFFF0000"/>
        <rFont val="Calibri"/>
        <family val="2"/>
        <charset val="1"/>
      </rPr>
      <t>, reject with version incompatibility reason code.</t>
    </r>
  </si>
  <si>
    <t>CdtrPmtActvtnReq/PmtInf/UltmtDbtr/Nm</t>
  </si>
  <si>
    <t>2.175</t>
  </si>
  <si>
    <t>CdtrPmtActvtnReq/PmtInf/UltmtDbtr/PstlAdr/StrtNm</t>
  </si>
  <si>
    <t>2.186</t>
  </si>
  <si>
    <t>CdtrPmtActvtnReq/PmtInf/UltmtDbtr/PstlAdr/BldgNb</t>
  </si>
  <si>
    <t>2.187</t>
  </si>
  <si>
    <t>CdtrPmtActvtnReq/PmtInf/UltmtDbtr/PstlAdr/PstCd</t>
  </si>
  <si>
    <t>2.191</t>
  </si>
  <si>
    <t>CdtrPmtActvtnReq/PmtInf/UltmtDbtr/PstlAdr/TwnNm</t>
  </si>
  <si>
    <t>2.192</t>
  </si>
  <si>
    <t>CdtrPmtActvtnReq/PmtInf/UltmtDbtr/PstlAdr/CtrySubDvsn</t>
  </si>
  <si>
    <t>2.195</t>
  </si>
  <si>
    <t>CdtrPmtActvtnReq/PmtInf/UltmtDbtr/PstlAdr/Ctry</t>
  </si>
  <si>
    <t>2.196</t>
  </si>
  <si>
    <t>CdtrPmtActvtnReq/PmtInf/UltmtDbtr/PstlAdr/AdrLine</t>
  </si>
  <si>
    <t>2.197</t>
  </si>
  <si>
    <t>CdtrPmtActvtnReq/PmtInf/UltmtDbtr/Id/OrgId/LEI</t>
  </si>
  <si>
    <t>2.201</t>
  </si>
  <si>
    <t>CdtrPmtActvtnReq/PmtInf/UltmtDbtr/Id/PrvtId/Othr/Id</t>
  </si>
  <si>
    <t>2.215</t>
  </si>
  <si>
    <t>CdtrPmtActvtnReq/PmtInf/CdtTrfTx/PmtId/InstrId</t>
  </si>
  <si>
    <t>2.158</t>
  </si>
  <si>
    <t>2.239</t>
  </si>
  <si>
    <t>CdtrPmtActvtnReq/PmtInf/CdtTrfTx/PmtId/EndToEndId</t>
  </si>
  <si>
    <t>2.159</t>
  </si>
  <si>
    <t>2.240</t>
  </si>
  <si>
    <t>CdtrPmtActvtnReq/PmtInf/CdtTrfTx/PmtTpInf/SvcLvl/Cd</t>
  </si>
  <si>
    <t>2.163</t>
  </si>
  <si>
    <t>2.245</t>
  </si>
  <si>
    <t>CdtrPmtActvtnReq/PmtInf/CdtTrfTx/PmtTpInf/LclInstrm/Prtry</t>
  </si>
  <si>
    <t>2.167</t>
  </si>
  <si>
    <t>2.249</t>
  </si>
  <si>
    <t>See "Local Instrument Mapping"</t>
  </si>
  <si>
    <t xml:space="preserve">See "Local Instrument Mapping" </t>
  </si>
  <si>
    <t>CdtrPmtActvtnReq/PmtInf/CdtTrfTx/PmtTpInf/CtgyPurp/Prtry</t>
  </si>
  <si>
    <t>2.252</t>
  </si>
  <si>
    <t>CdtrPmtActvtnReq/PmtInf/CdtTrfTx/PmtCond/AmtModAllwd</t>
  </si>
  <si>
    <t>2.254</t>
  </si>
  <si>
    <t>AmtModAllwd</t>
  </si>
  <si>
    <t>CdtrPmtActvtnReq/PmtInf/CdtTrfTx/PmtCond/EarlyPmtAllwd</t>
  </si>
  <si>
    <t>2.255</t>
  </si>
  <si>
    <t>EarlyPmtAllwd</t>
  </si>
  <si>
    <t>CdtrPmtActvtnReq/PmtInf/CdtTrfTx/PmtCond/GrntedPmtReqd</t>
  </si>
  <si>
    <t>2.261</t>
  </si>
  <si>
    <t>GrntedPmtReqd</t>
  </si>
  <si>
    <t>CdtrPmtActvtnReq/PmtInf/CdtTrfTx/Amt/InstdAmt</t>
  </si>
  <si>
    <t>2.172</t>
  </si>
  <si>
    <t>InstdAmt</t>
  </si>
  <si>
    <t>2.263</t>
  </si>
  <si>
    <t>CdtrPmtActvtnReq/PmtInf/CdtTrfTx/Amt/InstdAmt/@Ccy</t>
  </si>
  <si>
    <t>2.173</t>
  </si>
  <si>
    <t>2.264</t>
  </si>
  <si>
    <t>CdtrPmtActvtnReq/PmtInf/CdtTrfTx/ChrgBr</t>
  </si>
  <si>
    <t>2.178</t>
  </si>
  <si>
    <t>2.269</t>
  </si>
  <si>
    <t>CdtrPmtActvtnReq/PmtInf/CdtTrfTx/CdtrAgt/FinInstnId/ClrSysMmbId/MmbId</t>
  </si>
  <si>
    <t>2.388</t>
  </si>
  <si>
    <t>2.592</t>
  </si>
  <si>
    <t>CdtrPmtActvtnReq/PmtInf/CdtTrfTx/Cdtr/Nm</t>
  </si>
  <si>
    <t>2.422</t>
  </si>
  <si>
    <t>CdtrPmtActvtnReq/PmtInf/CdtTrfTx/Cdtr/PstlAdr/StrtNm</t>
  </si>
  <si>
    <t>2.427</t>
  </si>
  <si>
    <t>2.661</t>
  </si>
  <si>
    <t>CdtrPmtActvtnReq/PmtInf/CdtTrfTx/Cdtr/PstlAdr/BldgNb</t>
  </si>
  <si>
    <t>2.428</t>
  </si>
  <si>
    <t>2.662</t>
  </si>
  <si>
    <t>CdtrPmtActvtnReq/PmtInf/CdtTrfTx/Cdtr/PstlAdr/PstCd</t>
  </si>
  <si>
    <t>2.429</t>
  </si>
  <si>
    <t>2.666</t>
  </si>
  <si>
    <t>CdtrPmtActvtnReq/PmtInf/CdtTrfTx/Cdtr/PstlAdr/TwnNm</t>
  </si>
  <si>
    <t>2.430</t>
  </si>
  <si>
    <t>2.667</t>
  </si>
  <si>
    <t>CdtrPmtActvtnReq/PmtInf/CdtTrfTx/Cdtr/PstlAdr/CtrySubDvsn</t>
  </si>
  <si>
    <t>2.670</t>
  </si>
  <si>
    <t>CdtrPmtActvtnReq/PmtInf/CdtTrfTx/Cdtr/PstlAdr/Ctry</t>
  </si>
  <si>
    <t>2.432</t>
  </si>
  <si>
    <t>2.671</t>
  </si>
  <si>
    <t>CdtrPmtActvtnReq/PmtInf/CdtTrfTx/Cdtr/PstlAdr/AdrLine</t>
  </si>
  <si>
    <t>2.672</t>
  </si>
  <si>
    <t>CdtrPmtActvtnReq/PmtInf/CdtTrfTx/Cdtr/Id/OrgId/LEI</t>
  </si>
  <si>
    <t>2.676</t>
  </si>
  <si>
    <t>CdtrPmtActvtnReq/PmtInf/CdtTrfTx/Cdtr/Id/PrvtId/DtAndPlcOfBirth/BirthDt</t>
  </si>
  <si>
    <t>2.445</t>
  </si>
  <si>
    <t>2.685</t>
  </si>
  <si>
    <t>CdtrPmtActvtnReq/PmtInf/CdtTrfTx/Cdtr/Id/PrvtId/DtAndPlcOfBirth/CityOfBirth</t>
  </si>
  <si>
    <t>2.447</t>
  </si>
  <si>
    <t>2.687</t>
  </si>
  <si>
    <t>CdtrPmtActvtnReq/PmtInf/CdtTrfTx/Cdtr/Id/PrvtId/DtAndPlcOfBirth/CtryOfBirth</t>
  </si>
  <si>
    <t>2.448</t>
  </si>
  <si>
    <t>2.688</t>
  </si>
  <si>
    <t>CdtrPmtActvtnReq/PmtInf/CdtTrfTx/Cdtr/CtctDtls/PhneNb</t>
  </si>
  <si>
    <t>2.699</t>
  </si>
  <si>
    <t>PhneNb</t>
  </si>
  <si>
    <t>CdtrPmtActvtnReq/PmtInf/CdtTrfTx/CdtrAcct/Id/Othr/Id</t>
  </si>
  <si>
    <t>2.715</t>
  </si>
  <si>
    <r>
      <rPr>
        <sz val="11"/>
        <color rgb="FF000000"/>
        <rFont val="Calibri"/>
        <family val="2"/>
        <charset val="1"/>
      </rPr>
      <t>If greater than 17 characters</t>
    </r>
    <r>
      <rPr>
        <sz val="11"/>
        <color rgb="FFFF0000"/>
        <rFont val="Calibri"/>
        <family val="2"/>
      </rPr>
      <t>, reject with version incompatibility reason code.</t>
    </r>
  </si>
  <si>
    <t>CdtrPmtActvtnReq/PmtInf/CdtTrfTx/UltmtCdtr/Nm</t>
  </si>
  <si>
    <t>CdtrPmtActvtnReq/PmtInf/CdtTrfTx/UltmtCdtr/PstlAdr/StrtNm</t>
  </si>
  <si>
    <t>CdtrPmtActvtnReq/PmtInf/CdtTrfTx/UltmtCdtr/PstlAdr/BldgNb</t>
  </si>
  <si>
    <t>CdtrPmtActvtnReq/PmtInf/CdtTrfTx/UltmtCdtr/PstlAdr/PstCd</t>
  </si>
  <si>
    <t>CdtrPmtActvtnReq/PmtInf/CdtTrfTx/UltmtCdtr/PstlAdr/TwnNm</t>
  </si>
  <si>
    <t>CdtrPmtActvtnReq/PmtInf/CdtTrfTx/UltmtCdtr/PstlAdr/CtrySubDvsn</t>
  </si>
  <si>
    <t>CdtrPmtActvtnReq/PmtInf/CdtTrfTx/UltmtCdtr/PstlAdr/Ctry</t>
  </si>
  <si>
    <t>CdtrPmtActvtnReq/PmtInf/CdtTrfTx/UltmtCdtr/PstlAdr/AdrLine</t>
  </si>
  <si>
    <t>CdtrPmtActvtnReq/PmtInf/CdtTrfTx/UltmtCdtr/Id/OrgId/LEI</t>
  </si>
  <si>
    <t>CdtrPmtActvtnReq/PmtInf/CdtTrfTx/UltmtCdtr/Id/PrvtId/Othr/Id</t>
  </si>
  <si>
    <t>CdtrPmtActvtnReq/PmtInf/CdtTrfTx/InstrForCdtrAgt/Cd</t>
  </si>
  <si>
    <t>Drop (see Zelle RFP sheet for Zelle handling)</t>
  </si>
  <si>
    <t>CdtrPmtActvtnReq/PmtInf/CdtTrfTx/InstrForCdtrAgt/InstrInf</t>
  </si>
  <si>
    <t>2.794</t>
  </si>
  <si>
    <t>CdtrPmtActvtnReq/PmtInf/CdtTrfTx/RltdRmtInf/RmtId</t>
  </si>
  <si>
    <t>2.591</t>
  </si>
  <si>
    <t>2.862</t>
  </si>
  <si>
    <t>CdtrPmtActvtnReq/PmtInf/CdtTrfTx/RltdRmtInf/RmtLctnDtls/Mtd</t>
  </si>
  <si>
    <t>2.593</t>
  </si>
  <si>
    <t>2.864</t>
  </si>
  <si>
    <t>CdtrPmtActvtnReq/PmtInf/CdtTrfTx/RltdRmtInf/RmtLctnDtls/ElctrncAdr</t>
  </si>
  <si>
    <t>2.594</t>
  </si>
  <si>
    <t>2.865</t>
  </si>
  <si>
    <t>Direct Map (see Zelle RFP sheet for Zelle handling)</t>
  </si>
  <si>
    <t>CdtrPmtActvtnReq/PmtInf/CdtTrfTx/RmtInf/Ustrd</t>
  </si>
  <si>
    <t>2.609</t>
  </si>
  <si>
    <t>2.891</t>
  </si>
  <si>
    <t>Direct Map (Ultimate Parties for details)</t>
  </si>
  <si>
    <t>CdtrPmtActvtnReq/PmtInf/CdtTrfTx/RmtInf/Strd/RfrdDocAmt/DscntApldAmt/Tp/Prtry</t>
  </si>
  <si>
    <t>CdtrPmtActvtnReq/PmtInf/CdtTrfTx/RmtInf/Strd/RfrdDocAmt/DscntApldAmt/Amt</t>
  </si>
  <si>
    <t>2.943</t>
  </si>
  <si>
    <t>CdtrPmtActvtnReq/PmtInf/CdtTrfTx/RmtInf/Strd/RfrdDocAmt/DscntApldAmt/Amt/@Ccy</t>
  </si>
  <si>
    <t>2.944</t>
  </si>
  <si>
    <t>Direct Map (fixed to ZELLE)</t>
  </si>
  <si>
    <t>Populate 2.9 with CONSUMER</t>
  </si>
  <si>
    <t xml:space="preserve">Map to "Dbtr/PstlAdr/TwnNm" as "TwnNm, CntrySubDvsn". Note the ",[space]". Truncate CntrySubDvsn as necessary. </t>
  </si>
  <si>
    <t xml:space="preserve">Map to "Dbtr/PstlAdr/StrtNm". Follow the value provided in StrtNm. Truncate AddressLine as necessary. </t>
  </si>
  <si>
    <t>Drop (value must be RECI)</t>
  </si>
  <si>
    <t>Map to first 64 characters of ElctrncAdr (Index 2.594)</t>
  </si>
  <si>
    <t>Map first 64 characters to InstrInf (index 2.794). 
Map remainder directly to ElctrncAdr (Index 2.865).</t>
  </si>
  <si>
    <t>CdtrPmtActvtnReqStsRpt/GrpHdr/MsgId</t>
  </si>
  <si>
    <t>CdtrPmtActvtnReqStsRpt/GrpHdr/CreDtTm</t>
  </si>
  <si>
    <t>CdtrPmtActvtnReqStsRpt/GrpHdr/InitgPty/Id/OrgId/Othr/Id</t>
  </si>
  <si>
    <t>1.20</t>
  </si>
  <si>
    <t>CdtrPmtActvtnReqStsRpt/OrgnlGrpInfAndSts/OrgnlMsgId</t>
  </si>
  <si>
    <t>CdtrPmtActvtnReqStsRpt/OrgnlGrpInfAndSts/OrgnlMsgNmId</t>
  </si>
  <si>
    <t>Map to pain.013.001.07</t>
  </si>
  <si>
    <t>Map to pain.013.001.05</t>
  </si>
  <si>
    <t>CdtrPmtActvtnReqStsRpt/OrgnlGrpInfAndSts/OrgnlCreDtTm</t>
  </si>
  <si>
    <t>CdtrPmtActvtnReqStsRpt/OrgnlGrpInfAndSts/OrgnlNbOfTxs</t>
  </si>
  <si>
    <t>CdtrPmtActvtnReqStsRpt/OrgnlPmtInfAndSts/OrgnlPmtInfId</t>
  </si>
  <si>
    <t>3.1</t>
  </si>
  <si>
    <t>OrgnlPmtInfId</t>
  </si>
  <si>
    <t>CdtrPmtActvtnReqStsRpt/OrgnlPmtInfAndSts/TxInfAndSts/TxSts</t>
  </si>
  <si>
    <t>3.61</t>
  </si>
  <si>
    <t>3.81</t>
  </si>
  <si>
    <r>
      <rPr>
        <sz val="11"/>
        <color rgb="FF000000"/>
        <rFont val="Calibri"/>
        <family val="2"/>
        <charset val="1"/>
      </rPr>
      <t>If ACTC, reject the message</t>
    </r>
    <r>
      <rPr>
        <sz val="11"/>
        <color rgb="FFFF0000"/>
        <rFont val="Calibri"/>
        <family val="2"/>
      </rPr>
      <t xml:space="preserve"> with version incompatibility reason code.</t>
    </r>
  </si>
  <si>
    <t>CdtrPmtActvtnReqStsRpt/OrgnlPmtInfAndSts/TxInfAndSts/StsRsnInf/Rsn/Cd</t>
  </si>
  <si>
    <t>3.107</t>
  </si>
  <si>
    <t>3.146</t>
  </si>
  <si>
    <t xml:space="preserve">See "Reason Code and Prtry" </t>
  </si>
  <si>
    <t>See "Reason Code and Prtry"</t>
  </si>
  <si>
    <t>CdtrPmtActvtnReqStsRpt/OrgnlPmtInfAndSts/TxInfAndSts/StsRsnInf/Rsn/Prtry</t>
  </si>
  <si>
    <t>3.108</t>
  </si>
  <si>
    <t>3.147</t>
  </si>
  <si>
    <t>CdtrPmtActvtnReqStsRpt/OrgnlPmtInfAndSts/TxInfAndSts/StsRsnInf/AddtlInf</t>
  </si>
  <si>
    <t>3.109</t>
  </si>
  <si>
    <t>3.148</t>
  </si>
  <si>
    <t>Direct Map (see Reason Code and Prtry)</t>
  </si>
  <si>
    <t>Direc Map (see Reason Code and Prtry)</t>
  </si>
  <si>
    <t>CdtrPmtActvtnReqStsRpt/OrgnlPmtInfAndSts/TxInfAndSts/OrgnlTxRef/ReqdExctnDt</t>
  </si>
  <si>
    <t>3.164</t>
  </si>
  <si>
    <t>CdtrPmtActvtnReqStsRpt/OrgnlPmtInfAndSts/TxInfAndSts/OrgnlTxRef/ReqdExctnDt/Dt</t>
  </si>
  <si>
    <t>3.234</t>
  </si>
  <si>
    <t>CdtrPmtActvtnReqStsRpt/OrgnlPmtInfAndSts/TxInfAndSts/OrgnlTxRef/ReqdExctnDt/DtTm</t>
  </si>
  <si>
    <t>3.235</t>
  </si>
  <si>
    <t>Map to ReqExctnDt and truncate</t>
  </si>
  <si>
    <t>CdtrPmtActvtnReqStsRpt/OrgnlPmtInfAndSts/TxInfAndSts/OrgnlTxRef/CdtrAgt/FinInstnId/ClrSysMmbId/MmbId</t>
  </si>
  <si>
    <t>3.446</t>
  </si>
  <si>
    <t>3.953</t>
  </si>
  <si>
    <r>
      <rPr>
        <sz val="11"/>
        <rFont val="Calibri"/>
        <family val="2"/>
        <charset val="1"/>
      </rPr>
      <t>Direct Map If includes an alphabetic character</t>
    </r>
    <r>
      <rPr>
        <sz val="11"/>
        <color rgb="FFFF0000"/>
        <rFont val="Calibri"/>
        <family val="2"/>
        <charset val="1"/>
      </rPr>
      <t>, reject with version incompatibility reason code.</t>
    </r>
  </si>
  <si>
    <t>CdtrPmtActvtnReqStsRpt/OrgnlPmtInfAndSts/TxInfAndSts/OrgnlTxRef/Cdtr/Nm</t>
  </si>
  <si>
    <t>3.480</t>
  </si>
  <si>
    <t>3.1011</t>
  </si>
  <si>
    <t>CdtrPmtActvtnReqStsRpt/OrgnlPmtInfAndSts/TxInfAndSts/OrgnlTxRef/Amt/InstdAmt</t>
  </si>
  <si>
    <t>3.227</t>
  </si>
  <si>
    <t>N/A - ACTC responses will be rejected by the system</t>
  </si>
  <si>
    <t>CdtrPmtActvtnReqStsRpt/OrgnlPmtInfAndSts/TxInfAndSts/OrgnlTxRef/Amt/InstdAmt/@Ccy</t>
  </si>
  <si>
    <t>3.228</t>
  </si>
  <si>
    <t>CdtrPmtActvtnReqStsRpt/OrgnlPmtInfAndSts/TxInfAndSts/OrgnlTxRef/Cdtr/Id/OrgId/LEI</t>
  </si>
  <si>
    <t>3.1037</t>
  </si>
  <si>
    <t>CdtrPmtActvtnReqStsRpt/OrgnlPmtInfAndSts/TxInfAndSts/OrgnlTxRef/Cdtr/Id/PrvtId/DtAndPlcOfBirth/BirthDt</t>
  </si>
  <si>
    <t>3.1046</t>
  </si>
  <si>
    <t>CdtrPmtActvtnReqStsRpt/OrgnlPmtInfAndSts/TxInfAndSts/OrgnlTxRef/Cdtr/Id/PrvtId/DtAndPlcOfBirth/CtryOfBirth</t>
  </si>
  <si>
    <t>3.1049</t>
  </si>
  <si>
    <t>CdtrPmtActvtnReqStsRpt/OrgnlPmtInfAndSts/TxInfAndSts/OrgnlTxRef/Cdtr/Id/PrvtId/DtAndPlcOfBirth/CityOfBirth</t>
  </si>
  <si>
    <t>3.1048</t>
  </si>
  <si>
    <t>CdtrPmtActvtnReqStsRpt/OrgnlPmtInfAndSts/TxInfAndSts/PmtCondSts/AccptAmt</t>
  </si>
  <si>
    <t>AccptAmt</t>
  </si>
  <si>
    <t>CdtrPmtActvtnReqStsRpt/OrgnlPmtInfAndSts/TxInfAndSts/PmtCondSts/AccptAmt/@Ccy</t>
  </si>
  <si>
    <r>
      <rPr>
        <sz val="11"/>
        <rFont val="Calibri"/>
        <family val="2"/>
        <charset val="1"/>
      </rPr>
      <t>CdtrPmtActvtnReqStsRpt/OrgnlPmtInfAndSts/TxInfAndSts/PmtCondSts/</t>
    </r>
    <r>
      <rPr>
        <sz val="11"/>
        <color rgb="FFFF0000"/>
        <rFont val="Calibri"/>
        <family val="2"/>
        <charset val="1"/>
      </rPr>
      <t>GrntedPmt</t>
    </r>
  </si>
  <si>
    <t>3.152</t>
  </si>
  <si>
    <t>Guaranteed Payment</t>
  </si>
  <si>
    <t>CdtrPmtActvtnReqStsRpt/OrgnlPmtInfAndSts/TxInfAndSts/PmtCondSts/EarlyPmt</t>
  </si>
  <si>
    <t>3.153</t>
  </si>
  <si>
    <t>EarlyPmt</t>
  </si>
  <si>
    <t>UblToApply/Assgnmt/Id</t>
  </si>
  <si>
    <t>UblToApply/Assgnmt/Assgne/Agt/FinInstnId/ClrSysMmbId/MmbId</t>
  </si>
  <si>
    <t>1.137</t>
  </si>
  <si>
    <t>1.199</t>
  </si>
  <si>
    <r>
      <rPr>
        <sz val="11"/>
        <rFont val="Calibri"/>
        <family val="2"/>
        <charset val="1"/>
      </rPr>
      <t xml:space="preserve">Direct Map If includes an alphabetic character, </t>
    </r>
    <r>
      <rPr>
        <sz val="11"/>
        <color rgb="FFFF0000"/>
        <rFont val="Calibri"/>
        <family val="2"/>
        <charset val="1"/>
      </rPr>
      <t>reject with version incompatibility reason code</t>
    </r>
  </si>
  <si>
    <t>UblToApply/Assgnmt/CreDtTm</t>
  </si>
  <si>
    <t>1.170</t>
  </si>
  <si>
    <t>1.256</t>
  </si>
  <si>
    <t>UblToApply/Assgnmt/Assgnr/Agt/FinInstnId/ClrSysMmbId/MmbId</t>
  </si>
  <si>
    <t>1.53</t>
  </si>
  <si>
    <t>1.72</t>
  </si>
  <si>
    <t>UblToApply/Case/Id</t>
  </si>
  <si>
    <t>UblToApply/Case/Cretr/Pty/Nm</t>
  </si>
  <si>
    <t>If not present, reject with error (FI to FI RFI not supported in 2.8)</t>
  </si>
  <si>
    <t>UblToApply/Undrlyg/Initn/OrgnlGrpInf/OrgnlMsgId</t>
  </si>
  <si>
    <t>3.3</t>
  </si>
  <si>
    <t xml:space="preserve">If present, reject with error (RFI for RFP not permitted in 2.8). </t>
  </si>
  <si>
    <t>UblToApply/Undrlyg/Initn/OrgnlGrpInf/OrgnlMsgNmId</t>
  </si>
  <si>
    <t>3.4</t>
  </si>
  <si>
    <t>UblToApply/Undrlyg/Initn/OrgnlGrpInf/OrgnlCreDtTm</t>
  </si>
  <si>
    <t>3.5</t>
  </si>
  <si>
    <t>UblToApply/Undrlyg/Initn/OrgnlPmtInfId</t>
  </si>
  <si>
    <t>3.7</t>
  </si>
  <si>
    <t>UblToApply/Undrlyg/Initn/OrgnlEndToEndId</t>
  </si>
  <si>
    <t>OrgnlEndToEndId</t>
  </si>
  <si>
    <t>UblToApply/Case/Cretr/Agt/FinInstnId/ClrSysMmbId/MmbId</t>
  </si>
  <si>
    <t>2.72</t>
  </si>
  <si>
    <t>If present, reject (Participant initiated RFI not permitted in 2.8) -</t>
  </si>
  <si>
    <t>UblToApply/Undrlyg/Initn/OrgnlInstdAmt</t>
  </si>
  <si>
    <t>3.11</t>
  </si>
  <si>
    <t>OrgnlInstdAmt</t>
  </si>
  <si>
    <t>UblToApply/Undrlyg/Initn/OrgnlInstdAmt/@Ccy</t>
  </si>
  <si>
    <t>3.12</t>
  </si>
  <si>
    <t>UblToApply/Undrlyg/Initn/ReqdExctnDt/Dt</t>
  </si>
  <si>
    <t>3.14</t>
  </si>
  <si>
    <t>UblToApply/Undrlyg/Initn/ReqdExctnDt/DtTm</t>
  </si>
  <si>
    <t>3.15</t>
  </si>
  <si>
    <t>UblToApply/Undrlyg/IntrBk/OrgnlGrpInf/OrgnlMsgId</t>
  </si>
  <si>
    <t>3.16</t>
  </si>
  <si>
    <t>3.1837</t>
  </si>
  <si>
    <t>UblToApply/Undrlyg/IntrBk/OrgnlGrpInf/OrgnlMsgNmId</t>
  </si>
  <si>
    <t>3.17</t>
  </si>
  <si>
    <t>3.1838</t>
  </si>
  <si>
    <t>Map pacs.008.001.08 to pacs.008.001.06</t>
  </si>
  <si>
    <t>UblToApply/Undrlyg/IntrBk/OrgnlGrpInf/OrgnlCreDtTm</t>
  </si>
  <si>
    <t>3.18</t>
  </si>
  <si>
    <t>3.1839</t>
  </si>
  <si>
    <t>UblToApply/Undrlyg/IntrBk/OrgnlInstrId</t>
  </si>
  <si>
    <t>3.20</t>
  </si>
  <si>
    <t>3.1841</t>
  </si>
  <si>
    <t>UblToApply/Undrlyg/IntrBk/OrgnlEndToEndId</t>
  </si>
  <si>
    <t>3.21</t>
  </si>
  <si>
    <t>3.1842</t>
  </si>
  <si>
    <t>UblToApply/Undrlyg/IntrBk/OrgnlTxId</t>
  </si>
  <si>
    <t>3.22</t>
  </si>
  <si>
    <t>3.1843</t>
  </si>
  <si>
    <t>UblToApply/Undrlyg/IntrBk/OrgnlIntrBkSttlmAmt</t>
  </si>
  <si>
    <t>3.23</t>
  </si>
  <si>
    <t>OrgnlIntrBkSttlmAmt</t>
  </si>
  <si>
    <t>3.1845</t>
  </si>
  <si>
    <t>UblToApply/Undrlyg/IntrBk/OrgnlIntrBkSttlmAmt/@Ccy</t>
  </si>
  <si>
    <t>3.24</t>
  </si>
  <si>
    <t>3.1846</t>
  </si>
  <si>
    <t>UblToApply/Undrlyg/IntrBk/OrgnlIntrBkSttlmDt</t>
  </si>
  <si>
    <t>3.25</t>
  </si>
  <si>
    <t>OrgnlIntrBkSttlmDt</t>
  </si>
  <si>
    <t>3.1847</t>
  </si>
  <si>
    <t>UblToApply/Justfn/MssngOrIncrrctInf/MssngInf/Cd</t>
  </si>
  <si>
    <t>4.5</t>
  </si>
  <si>
    <t>UblToApply/Justfn/MssngOrIncrrctInf/MssngInf/AddtlMssngInf</t>
  </si>
  <si>
    <t>4.6</t>
  </si>
  <si>
    <t>AddtlMssngInf</t>
  </si>
  <si>
    <t>UblToApply/Justfn/MssngOrIncrrctInf/IncrrctInf/Cd</t>
  </si>
  <si>
    <t>4.8</t>
  </si>
  <si>
    <r>
      <rPr>
        <sz val="11"/>
        <color rgb="FF000000"/>
        <rFont val="Calibri"/>
        <family val="2"/>
        <charset val="1"/>
      </rPr>
      <t xml:space="preserve">If IN04 or IN19 is present,  </t>
    </r>
    <r>
      <rPr>
        <sz val="11"/>
        <color rgb="FFFF0000"/>
        <rFont val="Calibri"/>
        <family val="2"/>
      </rPr>
      <t>reject with version incompatibility reason code</t>
    </r>
  </si>
  <si>
    <t>UblToApply/Justfn/MssngOrIncrrctInf/IncrrctInf/AddtlIncrrctInf</t>
  </si>
  <si>
    <t>4.9</t>
  </si>
  <si>
    <t>AddtlIncrrctInf</t>
  </si>
  <si>
    <t>Codes Xpath 2.8</t>
  </si>
  <si>
    <t>Codes</t>
  </si>
  <si>
    <t>Document/UblToApply/Undrlyg/Initn/OrgnlGrpInf/OrgnlMsgNmId</t>
  </si>
  <si>
    <t>pain.013.001.07</t>
  </si>
  <si>
    <t>Document/UblToApply/Undrlyg/Initn/OrgnlInstdAmt/@Ccy</t>
  </si>
  <si>
    <t>USD</t>
  </si>
  <si>
    <t>Document/UblToApply/Undrlyg/IntrBk/OrgnlGrpInf/OrgnlMsgNmId</t>
  </si>
  <si>
    <t>pacs.008.001.06</t>
  </si>
  <si>
    <t>pacs.008.001.08</t>
  </si>
  <si>
    <t>Document/UblToApply/Undrlyg/IntrBk/OrgnlIntrBkSttlmAmt/@Ccy</t>
  </si>
  <si>
    <t>Document/UblToApply/Justfn/MssngOrIncrrctInf/MssngInf/Cd</t>
  </si>
  <si>
    <t>MS01</t>
  </si>
  <si>
    <t>NARR</t>
  </si>
  <si>
    <t>Document/UblToApply/Justfn/MssngOrIncrrctInf/IncrrctInf/Cd</t>
  </si>
  <si>
    <t>IN01</t>
  </si>
  <si>
    <t>IN06</t>
  </si>
  <si>
    <t>IN04</t>
  </si>
  <si>
    <t>Incorrect ReqExDt -- won't be present</t>
  </si>
  <si>
    <t>IN15</t>
  </si>
  <si>
    <t>IN38</t>
  </si>
  <si>
    <t>IN39</t>
  </si>
  <si>
    <t>IN19</t>
  </si>
  <si>
    <t>Incorrect "InstructionsForCreditorAgent"</t>
  </si>
  <si>
    <t>MM20</t>
  </si>
  <si>
    <t>MM21</t>
  </si>
  <si>
    <t>AddtlPmtInf/Assgnmt/Id</t>
  </si>
  <si>
    <t>AddtlPmtInf/Assgnmt/Assgne/Agt/FinInstnId/ClrSysMmbId/MmbId</t>
  </si>
  <si>
    <r>
      <rPr>
        <sz val="11"/>
        <rFont val="Calibri"/>
        <family val="2"/>
        <charset val="1"/>
      </rPr>
      <t xml:space="preserve">Direct Map If includes an alphabetic character, </t>
    </r>
    <r>
      <rPr>
        <sz val="11"/>
        <color rgb="FFFF0000"/>
        <rFont val="Calibri"/>
        <family val="2"/>
      </rPr>
      <t>reject with version incompatibility reason code  (pacs.002, ‘9952’)</t>
    </r>
  </si>
  <si>
    <t>AddtlPmtInf/Assgnmt/CreDtTm</t>
  </si>
  <si>
    <t>AddtlPmtInf/Assgnmt/Assgnr/Agt/FinInstnId/ClrSysMmbId/MmbId</t>
  </si>
  <si>
    <t>AddtlPmtInf/Case/Id</t>
  </si>
  <si>
    <t>AddtlPmtInf/Case/Cretr/Pty/Nm</t>
  </si>
  <si>
    <t>AddtlPmtInf/Case/Cretr/Agt/FinInstnId/ClrSysMmbId/MmbId</t>
  </si>
  <si>
    <t xml:space="preserve">Not possible -- camt.026 would have never been received with this element. </t>
  </si>
  <si>
    <t>AddtlPmtInf/Undrlyg/Initn/OrgnlGrpInf/OrgnlMsgId</t>
  </si>
  <si>
    <t>AddtlPmtInf/Undrlyg/Initn/OrgnlGrpInf/OrgnlMsgNmId</t>
  </si>
  <si>
    <t>AddtlPmtInf/Undrlyg/Initn/OrgnlPmtInfId</t>
  </si>
  <si>
    <t>AddtlPmtInf/Undrlyg/Initn/OrgnlEndToEndId</t>
  </si>
  <si>
    <t>AddtlPmtInf/Undrlyg/Initn/OrgnlInstdAmt</t>
  </si>
  <si>
    <t>AddtlPmtInf/Undrlyg/Initn/OrgnlInstdAmt/@Ccy</t>
  </si>
  <si>
    <t>AddtlPmtInf/Undrlyg/Initn/ReqdExctnDt/Dt</t>
  </si>
  <si>
    <t>AddtlPmtInf/Undrlyg/Initn/ReqdExctnDt/DtTm</t>
  </si>
  <si>
    <t>AddtlPmtInf/Undrlyg/IntrBk/OrgnlGrpInf/OrgnlMsgId</t>
  </si>
  <si>
    <t>AddtlPmtInf/Undrlyg/IntrBk/OrgnlGrpInf/OrgnlMsgNmId</t>
  </si>
  <si>
    <t>Map to pacs.008.001.08</t>
  </si>
  <si>
    <t>Map to pacs.008.001.06</t>
  </si>
  <si>
    <t>AddtlPmtInf/Undrlyg/IntrBk/OrgnlInstrId</t>
  </si>
  <si>
    <t>AddtlPmtInf/Undrlyg/IntrBk/OrgnlEndToEndId</t>
  </si>
  <si>
    <t>AddtlPmtInf/Undrlyg/IntrBk/OrgnlTxId</t>
  </si>
  <si>
    <t>AddtlPmtInf/Undrlyg/IntrBk/OrgnlIntrBkSttlmAmt</t>
  </si>
  <si>
    <t>AddtlPmtInf/Undrlyg/IntrBk/OrgnlIntrBkSttlmAmt/@Ccy</t>
  </si>
  <si>
    <t>AddtlPmtInf/Undrlyg/IntrBk/OrgnlIntrBkSttlmDt</t>
  </si>
  <si>
    <t>AddtlPmtInf/Inf/InstrId</t>
  </si>
  <si>
    <t>4.1</t>
  </si>
  <si>
    <t>AddtlPmtInf/Inf/EndToEndId</t>
  </si>
  <si>
    <t>4.2</t>
  </si>
  <si>
    <t>AddtlPmtInf/Inf/TxId</t>
  </si>
  <si>
    <t>4.3</t>
  </si>
  <si>
    <t>AddtlPmtInf/Inf/UltmtDbtr/Nm</t>
  </si>
  <si>
    <t>4.33</t>
  </si>
  <si>
    <t xml:space="preserve">See "Ultimate Parties" for details. </t>
  </si>
  <si>
    <t>AddtlPmtInf/Inf/UltmtDbtr/PstlAdr/StrtNm</t>
  </si>
  <si>
    <t>4.44</t>
  </si>
  <si>
    <t>AddtlPmtInf/Inf/UltmtDbtr/PstlAdr/BldgNb</t>
  </si>
  <si>
    <t>4.45</t>
  </si>
  <si>
    <t>AddtlPmtInf/Inf/UltmtDbtr/PstlAdr/PstCd</t>
  </si>
  <si>
    <t>4.49</t>
  </si>
  <si>
    <t>AddtlPmtInf/Inf/UltmtDbtr/PstlAdr/TwnNm</t>
  </si>
  <si>
    <t>4.50</t>
  </si>
  <si>
    <t>AddtlPmtInf/Inf/UltmtDbtr/PstlAdr/CtrySubDvsn</t>
  </si>
  <si>
    <t>4.53</t>
  </si>
  <si>
    <t>AddtlPmtInf/Inf/UltmtDbtr/PstlAdr/Ctry</t>
  </si>
  <si>
    <t>4.54</t>
  </si>
  <si>
    <t>AddtlPmtInf/Inf/UltmtDbtr/PstlAdr/AdrLine</t>
  </si>
  <si>
    <t>4.55</t>
  </si>
  <si>
    <t>AddtlPmtInf/Inf/UltmtDbtr/Id/OrgId/LEI</t>
  </si>
  <si>
    <t>4.59</t>
  </si>
  <si>
    <t>AddtlPmtInf/Inf/UltmtDbtr/Id/PrvtId/Othr/Id</t>
  </si>
  <si>
    <t>4.73</t>
  </si>
  <si>
    <t>AddtlPmtInf/Inf/Dbtr/Nm</t>
  </si>
  <si>
    <t>4.74</t>
  </si>
  <si>
    <t>4.95</t>
  </si>
  <si>
    <t>AddtlPmtInf/Inf/Dbtr/PstlAdr/StrtNm</t>
  </si>
  <si>
    <t>4.79</t>
  </si>
  <si>
    <t>4.106</t>
  </si>
  <si>
    <t>If not present in 2.8, populate 2.9 with "[space]"</t>
  </si>
  <si>
    <t>AddtlPmtInf/Inf/Dbtr/PstlAdr/BldgNb</t>
  </si>
  <si>
    <t>4.80</t>
  </si>
  <si>
    <t>4.107</t>
  </si>
  <si>
    <t>AddtlPmtInf/Inf/Dbtr/PstlAdr/PstCd</t>
  </si>
  <si>
    <t>4.81</t>
  </si>
  <si>
    <t>4.111</t>
  </si>
  <si>
    <t>AddtlPmtInf/Inf/Dbtr/PstlAdr/TwnNm</t>
  </si>
  <si>
    <t>4.82</t>
  </si>
  <si>
    <t>4.112</t>
  </si>
  <si>
    <t>AddtlPmtInf/Inf/Dbtr/PstlAdr/CtrySubDvsn</t>
  </si>
  <si>
    <t>4.115</t>
  </si>
  <si>
    <t xml:space="preserve">Map to "Dbtr/PstlAdr/TwnNm" as "TwnNm, CntrySubDvsn". Note the ",[space]".  Truncate resultant value as necessary. </t>
  </si>
  <si>
    <t>AddtlPmtInf/Inf/Dbtr/PstlAdr/Ctry</t>
  </si>
  <si>
    <t>4.84</t>
  </si>
  <si>
    <t>4.116</t>
  </si>
  <si>
    <t>If not present in 2.8, populate 2.9 with "US"</t>
  </si>
  <si>
    <t>AddtlPmtInf/Inf/Dbtr/PstlAdr/AdrLine</t>
  </si>
  <si>
    <t>4.117</t>
  </si>
  <si>
    <t>AddtlPmtInf/Inf/Dbtr/Id/OrgId/LEI</t>
  </si>
  <si>
    <t>4.121</t>
  </si>
  <si>
    <t>AddtlPmtInf/Inf/Dbtr/Id/PrvtId/DtAndPlcOfBirth/BirthDt</t>
  </si>
  <si>
    <t>4.97</t>
  </si>
  <si>
    <t>4.130</t>
  </si>
  <si>
    <t>AddtlPmtInf/Inf/Dbtr/Id/PrvtId/DtAndPlcOfBirth/CityOfBirth</t>
  </si>
  <si>
    <t>4.99</t>
  </si>
  <si>
    <t>4.132</t>
  </si>
  <si>
    <t>AddtlPmtInf/Inf/Dbtr/Id/PrvtId/DtAndPlcOfBirth/CtryOfBirth</t>
  </si>
  <si>
    <t>4.100</t>
  </si>
  <si>
    <t>4.133</t>
  </si>
  <si>
    <t>AddtlPmtInf/Inf/Cdtr/Nm</t>
  </si>
  <si>
    <t>4.582</t>
  </si>
  <si>
    <t>4.864</t>
  </si>
  <si>
    <t>AddtlPmtInf/Inf/Cdtr/PstlAdr/StrtNm</t>
  </si>
  <si>
    <t>4.587</t>
  </si>
  <si>
    <t>4.875</t>
  </si>
  <si>
    <t>AddtlPmtInf/Inf/Cdtr/PstlAdr/BldgNb</t>
  </si>
  <si>
    <t>4.588</t>
  </si>
  <si>
    <t>4.876</t>
  </si>
  <si>
    <t>AddtlPmtInf/Inf/Cdtr/PstlAdr/PstCd</t>
  </si>
  <si>
    <t>4.589</t>
  </si>
  <si>
    <t>4.880</t>
  </si>
  <si>
    <t>AddtlPmtInf/Inf/Cdtr/PstlAdr/TwnNm</t>
  </si>
  <si>
    <t>4.590</t>
  </si>
  <si>
    <t>4.881</t>
  </si>
  <si>
    <t>AddtlPmtInf/Inf/Cdtr/PstlAdr/CtrySubDvsn</t>
  </si>
  <si>
    <t>4.884</t>
  </si>
  <si>
    <t xml:space="preserve">Map to "Crdtr/PstlAdr/TwnNm" as "TwnNm, CntrySubDvsn". Note the ",[space]".  Truncate resultant value as necessary. </t>
  </si>
  <si>
    <t>AddtlPmtInf/Inf/Cdtr/PstlAdr/Ctry</t>
  </si>
  <si>
    <t>4.592</t>
  </si>
  <si>
    <t>4.885</t>
  </si>
  <si>
    <t>AddtlPmtInf/Inf/Cdtr/PstlAdr/AdrLine</t>
  </si>
  <si>
    <t>4.886</t>
  </si>
  <si>
    <t>AddtlPmtInf/Inf/Cdtr/Id/OrgId/LEI</t>
  </si>
  <si>
    <t>4.890</t>
  </si>
  <si>
    <t>AddtlPmtInf/Inf/Cdtr/Id/PrvtId/DtAndPlcOfBirth/BirthDt</t>
  </si>
  <si>
    <t>4.605</t>
  </si>
  <si>
    <t>4.899</t>
  </si>
  <si>
    <t>AddtlPmtInf/Inf/Cdtr/Id/PrvtId/DtAndPlcOfBirth/CityOfBirth</t>
  </si>
  <si>
    <t>4.607</t>
  </si>
  <si>
    <t>4.901</t>
  </si>
  <si>
    <t>AddtlPmtInf/Inf/Cdtr/Id/PrvtId/DtAndPlcOfBirth/CtryOfBirth</t>
  </si>
  <si>
    <t>4.608</t>
  </si>
  <si>
    <t>4.902</t>
  </si>
  <si>
    <t>AddtlPmtInf/Inf/Cdtr/CtctDtls/PhneNb</t>
  </si>
  <si>
    <t>4.913</t>
  </si>
  <si>
    <t>AddtlPmtInf/Inf/UltmtCdtr/Nm</t>
  </si>
  <si>
    <t>4.945</t>
  </si>
  <si>
    <t>AddtlPmtInf/Inf/UltmtCdtr/PstlAdr/StrtNm</t>
  </si>
  <si>
    <t>4.956</t>
  </si>
  <si>
    <t>AddtlPmtInf/Inf/UltmtCdtr/PstlAdr/BldgNb</t>
  </si>
  <si>
    <t>4.957</t>
  </si>
  <si>
    <t>AddtlPmtInf/Inf/UltmtCdtr/PstlAdr/PstCd</t>
  </si>
  <si>
    <t>4.961</t>
  </si>
  <si>
    <t>AddtlPmtInf/Inf/UltmtCdtr/PstlAdr/TwnNm</t>
  </si>
  <si>
    <t>4.962</t>
  </si>
  <si>
    <t>AddtlPmtInf/Inf/UltmtCdtr/PstlAdr/CtrySubDvsn</t>
  </si>
  <si>
    <t>4.965</t>
  </si>
  <si>
    <t>AddtlPmtInf/Inf/UltmtCdtr/PstlAdr/Ctry</t>
  </si>
  <si>
    <t>4.966</t>
  </si>
  <si>
    <t>AddtlPmtInf/Inf/UltmtCdtr/PstlAdr/AdrLine</t>
  </si>
  <si>
    <t>4.967</t>
  </si>
  <si>
    <t>AddtlPmtInf/Inf/UltmtCdtr/Id/OrgId/LEI</t>
  </si>
  <si>
    <t>4.971</t>
  </si>
  <si>
    <t>AddtlPmtInf/Inf/UltmtCdtr/Id/PrvtId/Othr/Id</t>
  </si>
  <si>
    <t>4.985</t>
  </si>
  <si>
    <t>AddtlPmtInf/Inf/RmtInf/Ustrd</t>
  </si>
  <si>
    <t>4.746</t>
  </si>
  <si>
    <t>4.1266</t>
  </si>
  <si>
    <t>Pass on first occurrence, drop the rest. (Participant using 2.9 message should send multiple camt.028 messages to return multiple Ustrd Inf)</t>
  </si>
  <si>
    <t>AddtlPmtInf/Inf/RmtInf/Strd/RfrdDocAmt/DscntApldAmt/Tp/Prtry</t>
  </si>
  <si>
    <t>4.1317</t>
  </si>
  <si>
    <t>AddtlPmtInf/Inf/RmtInf/Strd/RfrdDocAmt/DscntApldAmt/Amt</t>
  </si>
  <si>
    <t>4.1318</t>
  </si>
  <si>
    <t>AddtlPmtInf/Inf/RmtInf/Strd/RfrdDocAmt/DscntApldAmt/Amt/@Ccy</t>
  </si>
  <si>
    <t>4.1319</t>
  </si>
  <si>
    <t>FIToFIPmtCxlReq/Assgnmt/Id</t>
  </si>
  <si>
    <t>FIToFIPmtCxlReq/Assgnmt/Assgne/Agt/FinInstnId/ClrSysMmbId/MmbId</t>
  </si>
  <si>
    <t>FIToFIPmtCxlReq/Assgnmt/CreDtTm</t>
  </si>
  <si>
    <t>FIToFIPmtCxlReq/Assgnmt/Assgnr/Agt/FinInstnId/ClrSysMmbId/MmbId</t>
  </si>
  <si>
    <t>FIToFIPmtCxlReq/Case/Id</t>
  </si>
  <si>
    <t>FIToFIPmtCxlReq/Case/Cretr/Agt/FinInstnId/ClrSysMmbId/MmbId</t>
  </si>
  <si>
    <t>2.53</t>
  </si>
  <si>
    <t>FIToFIPmtCxlReq/Undrlyg/OrgnlGrpInfAndCxl/OrgnlMsgId</t>
  </si>
  <si>
    <t>4.90</t>
  </si>
  <si>
    <t>FIToFIPmtCxlReq/Undrlyg/OrgnlGrpInfAndCxl/OrgnlMsgNmId</t>
  </si>
  <si>
    <t>4.91</t>
  </si>
  <si>
    <t>4.134</t>
  </si>
  <si>
    <t xml:space="preserve">Translate pacs.008.001.08 to pacs.008.001.06. If pain.013.001.07, reject message. </t>
  </si>
  <si>
    <t>FIToFIPmtCxlReq/Undrlyg/OrgnlGrpInfAndCxl/OrgnlCreDtTm</t>
  </si>
  <si>
    <t>4.92</t>
  </si>
  <si>
    <t>4.135</t>
  </si>
  <si>
    <t>FIToFIPmtCxlReq/Undrlyg/TxInf/OrgnlInstrId</t>
  </si>
  <si>
    <t>4.237</t>
  </si>
  <si>
    <t>4.342</t>
  </si>
  <si>
    <t>FIToFIPmtCxlReq/Undrlyg/TxInf/OrgnlEndToEndId</t>
  </si>
  <si>
    <t>4.238</t>
  </si>
  <si>
    <t>4.343</t>
  </si>
  <si>
    <t>FIToFIPmtCxlReq/Undrlyg/TxInf/OrgnlTxId</t>
  </si>
  <si>
    <t>4.239</t>
  </si>
  <si>
    <t>4.344</t>
  </si>
  <si>
    <t>FIToFIPmtCxlReq/Undrlyg/TxInf/OrgnlClrSysRef</t>
  </si>
  <si>
    <t>4.240</t>
  </si>
  <si>
    <t>OrgnlClrSysRef</t>
  </si>
  <si>
    <t>4.346</t>
  </si>
  <si>
    <t>FIToFIPmtCxlReq/Undrlyg/TxInf/OrgnlIntrBkSttlmAmt</t>
  </si>
  <si>
    <t>4.241</t>
  </si>
  <si>
    <t>4.347</t>
  </si>
  <si>
    <t>FIToFIPmtCxlReq/Undrlyg/TxInf/OrgnlIntrBkSttlmAmt/@Ccy</t>
  </si>
  <si>
    <t>4.242</t>
  </si>
  <si>
    <t>4.348</t>
  </si>
  <si>
    <t>FIToFIPmtCxlReq/Undrlyg/TxInf/OrgnlIntrBkSttlmDt</t>
  </si>
  <si>
    <t>4.243</t>
  </si>
  <si>
    <t>4.349</t>
  </si>
  <si>
    <t>FIToFIPmtCxlReq/Undrlyg/TxInf/CxlRsnInf/Orgtr/Nm</t>
  </si>
  <si>
    <t>4.326</t>
  </si>
  <si>
    <t>4.480</t>
  </si>
  <si>
    <t>FIToFIPmtCxlReq/Undrlyg/TxInf/CxlRsnInf/Orgtr/Id/OrgId/Othr/Id</t>
  </si>
  <si>
    <t>4.508</t>
  </si>
  <si>
    <t>FIToFIPmtCxlReq/Undrlyg/TxInf/CxlRsnInf/Rsn/Cd</t>
  </si>
  <si>
    <t>4.369</t>
  </si>
  <si>
    <t>4.542</t>
  </si>
  <si>
    <t xml:space="preserve">See "Cancellation Reason Info Code" </t>
  </si>
  <si>
    <t>FIToFIPmtCxlReq/Undrlyg/TxInf/CxlRsnInf/Rsn/Prtry</t>
  </si>
  <si>
    <t>4.543</t>
  </si>
  <si>
    <t>New Element</t>
  </si>
  <si>
    <t>FIToFIPmtCxlReq/Undrlyg/TxInf/CxlRsnInf/AddtlInf</t>
  </si>
  <si>
    <t>4.371</t>
  </si>
  <si>
    <t>4.544</t>
  </si>
  <si>
    <t xml:space="preserve">Direct Map (see "Cancellation Reason Info Code") </t>
  </si>
  <si>
    <t>FIToFIPmtCxlReq/Undrlyg/TxInf/OrgnlTxRef/Dbtr/Nm</t>
  </si>
  <si>
    <t>4.1221</t>
  </si>
  <si>
    <t>FIToFIPmtCxlReq/Undrlyg/TxInf/OrgnlTxRef/Dbtr/Pty/Nm</t>
  </si>
  <si>
    <t>4.1777</t>
  </si>
  <si>
    <t>FIToFIPmtCxlReq/Undrlyg/TxInf/OrgnlTxRef/Dbtr/PstlAdr/StrtNm</t>
  </si>
  <si>
    <t>4.1226</t>
  </si>
  <si>
    <t>FIToFIPmtCxlReq/Undrlyg/TxInf/OrgnlTxRef/Dbtr/Pty/PstlAdr/StrtNm</t>
  </si>
  <si>
    <t>4.1788</t>
  </si>
  <si>
    <t>FIToFIPmtCxlReq/Undrlyg/TxInf/OrgnlTxRef/Dbtr/PstlAdr/BldgNb</t>
  </si>
  <si>
    <t>4.1227</t>
  </si>
  <si>
    <t>FIToFIPmtCxlReq/Undrlyg/TxInf/OrgnlTxRef/Dbtr/Pty/PstlAdr/BldgNb</t>
  </si>
  <si>
    <t>4.1789</t>
  </si>
  <si>
    <t>FIToFIPmtCxlReq/Undrlyg/TxInf/OrgnlTxRef/Dbtr/PstlAdr/PstCd</t>
  </si>
  <si>
    <t>4.1228</t>
  </si>
  <si>
    <t>FIToFIPmtCxlReq/Undrlyg/TxInf/OrgnlTxRef/Dbtr/Pty/PstlAdr/PstCd</t>
  </si>
  <si>
    <t>4.1793</t>
  </si>
  <si>
    <t>FIToFIPmtCxlReq/Undrlyg/TxInf/OrgnlTxRef/Dbtr/PstlAdr/TwnNm</t>
  </si>
  <si>
    <t>4.1229</t>
  </si>
  <si>
    <t>FIToFIPmtCxlReq/Undrlyg/TxInf/OrgnlTxRef/Dbtr/Pty/PstlAdr/TwnNm</t>
  </si>
  <si>
    <t>4.1794</t>
  </si>
  <si>
    <t>FIToFIPmtCxlReq/Undrlyg/TxInf/OrgnlTxRef/Dbtr/Pty/PstlAdr/CtrySubDvsn</t>
  </si>
  <si>
    <t>4.1797</t>
  </si>
  <si>
    <t>FIToFIPmtCxlReq/Undrlyg/TxInf/OrgnlTxRef/Dbtr/PstlAdr/Ctry</t>
  </si>
  <si>
    <t>4.1231</t>
  </si>
  <si>
    <t>FIToFIPmtCxlReq/Undrlyg/TxInf/OrgnlTxRef/Dbtr/Pty/PstlAdr/Ctry</t>
  </si>
  <si>
    <t>4.1798</t>
  </si>
  <si>
    <t>FIToFIPmtCxlReq/Undrlyg/TxInf/OrgnlTxRef/Dbtr/Pty/PstlAdr/AdrLine</t>
  </si>
  <si>
    <t>4.1799</t>
  </si>
  <si>
    <t>FIToFIPmtCxlReq/Undrlyg/TxInf/OrgnlTxRef/Dbtr/Pty/Id/OrgId/LEI</t>
  </si>
  <si>
    <t>4.1803</t>
  </si>
  <si>
    <t>FIToFIPmtCxlReq/Undrlyg/TxInf/OrgnlTxRef/Dbtr/Id/PrvtId/DtAndPlcOfBirth/BirthDt</t>
  </si>
  <si>
    <t>4.1244</t>
  </si>
  <si>
    <t>FIToFIPmtCxlReq/Undrlyg/TxInf/OrgnlTxRef/Dbtr/Pty/Id/PrvtId/DtAndPlcOfBirth/BirthDt</t>
  </si>
  <si>
    <t>4.1812</t>
  </si>
  <si>
    <t>FIToFIPmtCxlReq/Undrlyg/TxInf/OrgnlTxRef/Dbtr/Id/PrvtId/DtAndPlcOfBirth/CityOfBirth</t>
  </si>
  <si>
    <t>4.1246</t>
  </si>
  <si>
    <t>FIToFIPmtCxlReq/Undrlyg/TxInf/OrgnlTxRef/Dbtr/Pty/Id/PrvtId/DtAndPlcOfBirth/CityOfBirth</t>
  </si>
  <si>
    <t>4.1814</t>
  </si>
  <si>
    <t>FIToFIPmtCxlReq/Undrlyg/TxInf/OrgnlTxRef/Dbtr/Id/PrvtId/DtAndPlcOfBirth/CtryOfBirth</t>
  </si>
  <si>
    <t>4.1247</t>
  </si>
  <si>
    <t>FIToFIPmtCxlReq/Undrlyg/TxInf/OrgnlTxRef/Dbtr/Pty/Id/PrvtId/DtAndPlcOfBirth/CtryOfBirth</t>
  </si>
  <si>
    <t>4.1815</t>
  </si>
  <si>
    <t>FIToFIPmtCxlReq/Undrlyg/TxInf/OrgnlTxRef/Cdtr/Nm</t>
  </si>
  <si>
    <t>4.1386</t>
  </si>
  <si>
    <t>FIToFIPmtCxlReq/Undrlyg/TxInf/OrgnlTxRef/Cdtr/Pty/Nm</t>
  </si>
  <si>
    <t>4.2089</t>
  </si>
  <si>
    <t>FIToFIPmtCxlReq/Undrlyg/TxInf/OrgnlTxRef/Cdtr/PstlAdr/StrtNm</t>
  </si>
  <si>
    <t>4.1391</t>
  </si>
  <si>
    <t>FIToFIPmtCxlReq/Undrlyg/TxInf/OrgnlTxRef/Cdtr/Pty/PstlAdr/StrtNm</t>
  </si>
  <si>
    <t>4.2100</t>
  </si>
  <si>
    <t>FIToFIPmtCxlReq/Undrlyg/TxInf/OrgnlTxRef/Cdtr/PstlAdr/BldgNb</t>
  </si>
  <si>
    <t>4.1392</t>
  </si>
  <si>
    <t>FIToFIPmtCxlReq/Undrlyg/TxInf/OrgnlTxRef/Cdtr/Pty/PstlAdr/BldgNb</t>
  </si>
  <si>
    <t>4.2101</t>
  </si>
  <si>
    <t>FIToFIPmtCxlReq/Undrlyg/TxInf/OrgnlTxRef/Cdtr/PstlAdr/PstCd</t>
  </si>
  <si>
    <t>4.1393</t>
  </si>
  <si>
    <t>FIToFIPmtCxlReq/Undrlyg/TxInf/OrgnlTxRef/Cdtr/Pty/PstlAdr/PstCd</t>
  </si>
  <si>
    <t>4.2105</t>
  </si>
  <si>
    <t>FIToFIPmtCxlReq/Undrlyg/TxInf/OrgnlTxRef/Cdtr/PstlAdr/TwnNm</t>
  </si>
  <si>
    <t>4.1394</t>
  </si>
  <si>
    <t>FIToFIPmtCxlReq/Undrlyg/TxInf/OrgnlTxRef/Cdtr/Pty/PstlAdr/TwnNm</t>
  </si>
  <si>
    <t>4.2106</t>
  </si>
  <si>
    <t>FIToFIPmtCxlReq/Undrlyg/TxInf/OrgnlTxRef/Cdtr/Pty/PstlAdr/CtrySubDvsn</t>
  </si>
  <si>
    <t>4.2109</t>
  </si>
  <si>
    <t>FIToFIPmtCxlReq/Undrlyg/TxInf/OrgnlTxRef/Cdtr/PstlAdr/Ctry</t>
  </si>
  <si>
    <t>4.1396</t>
  </si>
  <si>
    <t>FIToFIPmtCxlReq/Undrlyg/TxInf/OrgnlTxRef/Cdtr/Pty/PstlAdr/Ctry</t>
  </si>
  <si>
    <t>4.2110</t>
  </si>
  <si>
    <t>FIToFIPmtCxlReq/Undrlyg/TxInf/OrgnlTxRef/Cdtr/Pty/PstlAdr/AdrLine</t>
  </si>
  <si>
    <t>4.2111</t>
  </si>
  <si>
    <t>FIToFIPmtCxlReq/Undrlyg/TxInf/OrgnlTxRef/Cdtr/Pty/Id/OrgId/LEI</t>
  </si>
  <si>
    <t>4.2115</t>
  </si>
  <si>
    <t>FIToFIPmtCxlReq/Undrlyg/TxInf/OrgnlTxRef/Cdtr/Id/PrvtId/DtAndPlcOfBirth/BirthDt</t>
  </si>
  <si>
    <t>4.1409</t>
  </si>
  <si>
    <t>FIToFIPmtCxlReq/Undrlyg/TxInf/OrgnlTxRef/Cdtr/Pty/Id/PrvtId/DtAndPlcOfBirth/BirthDt</t>
  </si>
  <si>
    <t>4.2124</t>
  </si>
  <si>
    <t>FIToFIPmtCxlReq/Undrlyg/TxInf/OrgnlTxRef/Cdtr/Id/PrvtId/DtAndPlcOfBirth/CityOfBirth</t>
  </si>
  <si>
    <t>4.1411</t>
  </si>
  <si>
    <t>FIToFIPmtCxlReq/Undrlyg/TxInf/OrgnlTxRef/Cdtr/Pty/Id/PrvtId/DtAndPlcOfBirth/CityOfBirth</t>
  </si>
  <si>
    <t>4.2126</t>
  </si>
  <si>
    <t>FIToFIPmtCxlReq/Undrlyg/TxInf/OrgnlTxRef/Cdtr/Id/PrvtId/DtAndPlcOfBirth/CtryOfBirth</t>
  </si>
  <si>
    <t>4.1412</t>
  </si>
  <si>
    <t>FIToFIPmtCxlReq/Undrlyg/TxInf/OrgnlTxRef/Cdtr/Pty/Id/PrvtId/DtAndPlcOfBirth/CtryOfBirth</t>
  </si>
  <si>
    <t>4.2127</t>
  </si>
  <si>
    <t>FIToFIPmtCxlReq/Undrlyg/TxInf/OrgnlTxRef/Cdtr/Pty/CtctDtls/PhneNb</t>
  </si>
  <si>
    <t>4.2138</t>
  </si>
  <si>
    <t>RsltnOfInvstgtn/Assgnmt/Id</t>
  </si>
  <si>
    <t>RsltnOfInvstgtn/Assgnmt/Assgne/Agt/FinInstnId/ClrSysMmbId/MmbId</t>
  </si>
  <si>
    <t xml:space="preserve">Direct Map - If includes an alphabetic character, reject with version incompatibility reason code. </t>
  </si>
  <si>
    <t>RsltnOfInvstgtn/Assgnmt/CreDtTm</t>
  </si>
  <si>
    <t>RsltnOfInvstgtn/Assgnmt/Assgnr/Agt/FinInstnId/ClrSysMmbId/MmbId</t>
  </si>
  <si>
    <t>RsltnOfInvstgtn/Sts/Conf</t>
  </si>
  <si>
    <t>Conf</t>
  </si>
  <si>
    <t xml:space="preserve">If PECR, map to IPAY. Otherwise, Direct Map. </t>
  </si>
  <si>
    <t>RsltnOfInvstgtn/CxlDtls/OrgnlGrpInfAndSts/RslvdCase/Id</t>
  </si>
  <si>
    <t>4.4</t>
  </si>
  <si>
    <t>RsltnOfInvstgtn/CxlDtls/OrgnlGrpInfAndSts/RslvdCase/Cretr/Agt/FinInstnId/ClrSysMmbId/MmbId</t>
  </si>
  <si>
    <t>4.56</t>
  </si>
  <si>
    <t>4.75</t>
  </si>
  <si>
    <t xml:space="preserve">Direct Map -If includes an alphabetic character, reject with version incompatibility reason code. </t>
  </si>
  <si>
    <t>RsltnOfInvstgtn/CxlDtls/OrgnlGrpInfAndSts/OrgnlMsgId</t>
  </si>
  <si>
    <t>RsltnOfInvstgtn/CxlDtls/OrgnlGrpInfAndSts/OrgnlMsgNmId</t>
  </si>
  <si>
    <t>Translate camt.056.001.05 to camt.056.001.08</t>
  </si>
  <si>
    <t>Translate camt.056.001.08 to camt.056.001.05.</t>
  </si>
  <si>
    <t>RsltnOfInvstgtn/CxlDtls/OrgnlGrpInfAndSts/OrgnlCreDtTm</t>
  </si>
  <si>
    <t>RsltnOfInvstgtn/CxlDtls/OrgnlGrpInfAndSts/CxlStsRsnInf/Rsn/Cd</t>
  </si>
  <si>
    <t>4.141</t>
  </si>
  <si>
    <t>4.203</t>
  </si>
  <si>
    <t>RsltnOfInvstgtn/CxlDtls/TxInfAndSts/CxlStsId</t>
  </si>
  <si>
    <t>4.2448</t>
  </si>
  <si>
    <t>CxlStsId</t>
  </si>
  <si>
    <t>RsltnOfInvstgtn/CxlDtls/TxInfAndSts/RsltnRltdInf/IntrBkSttlmAmt</t>
  </si>
  <si>
    <t>4.2656</t>
  </si>
  <si>
    <t>RsltnOfInvstgtn/CxlDtls/TxInfAndSts/RsltnRltdInf/IntrBkSttlmAmt/@Ccy</t>
  </si>
  <si>
    <t>4.2657</t>
  </si>
  <si>
    <t>RsltnOfInvstgtn/CxlDtls/TxInfAndSts/RsltnRltdInf/IntrBkSttlmDt</t>
  </si>
  <si>
    <t>4.2658</t>
  </si>
  <si>
    <t>RsltnOfInvstgtn/CxlDtls/TxInfAndSts/RsltnRltdInf/ClrChanl</t>
  </si>
  <si>
    <t>4.2659</t>
  </si>
  <si>
    <t>ClrChanl</t>
  </si>
  <si>
    <t>RsltnOfInvstgtn/CxlDtls/TxInfAndSts/RsltnRltdInf/Chrgs/Amt</t>
  </si>
  <si>
    <t>4.2795</t>
  </si>
  <si>
    <t>RsltnOfInvstgtn/CxlDtls/TxInfAndSts/RsltnRltdInf/Chrgs/Amt/@Ccy</t>
  </si>
  <si>
    <t>4.2796</t>
  </si>
  <si>
    <t>RsltnOfInvstgtn/CxlDtls/TxInfAndSts/RsltnRltdInf/Chrgs/Agt/FinInstnId/ClrSysMmbId/MmbId</t>
  </si>
  <si>
    <t>4.2804</t>
  </si>
  <si>
    <t>PrtryFrmtInvstgtn/Assgnmt/Id</t>
  </si>
  <si>
    <t>PrtryFrmtInvstgtn/Assgnmt/Assgnr/Agt/FinInstnId/ClrSysMmbId/MmbId</t>
  </si>
  <si>
    <t>PrtryFrmtInvstgtn/Assgnmt/Assgne/Agt/FinInstnId/ClrSysMmbId/MmbId</t>
  </si>
  <si>
    <t>PrtryFrmtInvstgtn/Assgnmt/CreDtTm</t>
  </si>
  <si>
    <t>PrtryFrmtInvstgtn/Case/Id</t>
  </si>
  <si>
    <t>PrtryFrmtInvstgtn/Case/Cretr/Pty/Nm</t>
  </si>
  <si>
    <t>PrtryFrmtInvstgtn/Case/Cretr/Agt/FinInstnId/ClrSysMmbId/MmbId</t>
  </si>
  <si>
    <t>Map to Pty Nm</t>
  </si>
  <si>
    <t>PrtryFrmtInvstgtn/PrtryData/Tp</t>
  </si>
  <si>
    <t>Tp</t>
  </si>
  <si>
    <t xml:space="preserve">If ACWP, populate with ACK and map ACWP to Ustrd: /ACWP/contents of Ustrd. </t>
  </si>
  <si>
    <t>PrtryFrmtInvstgtn/PrtryData/Data/Ustrd</t>
  </si>
  <si>
    <t>Direct Map (see Tp)</t>
  </si>
  <si>
    <t>PrtryFrmtInvstgtn/PrtryData/Data/OrigRefs/InstrId</t>
  </si>
  <si>
    <t>PrtryFrmtInvstgtn/PrtryData/Data/OrigRefs/EndToEndId</t>
  </si>
  <si>
    <t>PrtryFrmtInvstgtn/PrtryData/Data/OrigRefs/TxId</t>
  </si>
  <si>
    <t>Seq No.</t>
  </si>
  <si>
    <t>RmtAdvc/GrpHdr/MsgId</t>
  </si>
  <si>
    <t>Document/RmtAdvc/GrpHdr/MsgId</t>
  </si>
  <si>
    <t>RmtAdvc/GrpHdr/CreDtTm</t>
  </si>
  <si>
    <t>Document/RmtAdvc/GrpHdr/CreDtTm</t>
  </si>
  <si>
    <t>RmtAdvc/GrpHdr/InitgPty/Id/OrgId/Othr/Id</t>
  </si>
  <si>
    <t>1.24</t>
  </si>
  <si>
    <t>Document/RmtAdvc/GrpHdr/InitgPty/Id/OrgId/Othr/Id</t>
  </si>
  <si>
    <t>1.36</t>
  </si>
  <si>
    <t>RmtAdvc/GrpHdr/MsgRcpt/Id/OrgId/Othr/Id</t>
  </si>
  <si>
    <t>1.67</t>
  </si>
  <si>
    <t>Document/RmtAdvc/GrpHdr/MsgRcpt/Id/OrgId/Othr/Id</t>
  </si>
  <si>
    <t>1.98</t>
  </si>
  <si>
    <t>RmtAdvc/RmtInf/RmtId</t>
  </si>
  <si>
    <t>Document/RmtAdvc/RmtInf/RmtId</t>
  </si>
  <si>
    <t>RmtAdvc/RmtInf/Ustrd</t>
  </si>
  <si>
    <t>Document/RmtAdvc/RmtInf/Ustrd</t>
  </si>
  <si>
    <t>RmtAdvc/RmtInf/OrgnlPmtInf/Refs/PmtInfId</t>
  </si>
  <si>
    <t>2.323</t>
  </si>
  <si>
    <t>Document/RmtAdvc/RmtInf/OrgnlPmtInf/Refs/PmtInfId</t>
  </si>
  <si>
    <t>2.399</t>
  </si>
  <si>
    <t>RmtAdvc/RmtInf/OrgnlPmtInf/Refs/InstrId</t>
  </si>
  <si>
    <t>2.324</t>
  </si>
  <si>
    <t>Document/RmtAdvc/RmtInf/OrgnlPmtInf/Refs/InstrId</t>
  </si>
  <si>
    <t>2.400</t>
  </si>
  <si>
    <t>RmtAdvc/RmtInf/OrgnlPmtInf/Refs/EndToEndId</t>
  </si>
  <si>
    <t>2.325</t>
  </si>
  <si>
    <t>Document/RmtAdvc/RmtInf/OrgnlPmtInf/Refs/EndToEndId</t>
  </si>
  <si>
    <t>2.401</t>
  </si>
  <si>
    <t>RmtAdvc/RmtInf/OrgnlPmtInf/Refs/TxId</t>
  </si>
  <si>
    <t>2.326</t>
  </si>
  <si>
    <t>Document/RmtAdvc/RmtInf/OrgnlPmtInf/Refs/TxId</t>
  </si>
  <si>
    <t>2.402</t>
  </si>
  <si>
    <t>RmtAdvc/RmtInf/OrgnlPmtInf/Amt/InstdAmt</t>
  </si>
  <si>
    <t>2.383</t>
  </si>
  <si>
    <t>Document/RmtAdvc/RmtInf/OrgnlPmtInf/Amt/InstdAmt</t>
  </si>
  <si>
    <t>2.479</t>
  </si>
  <si>
    <t>RmtAdvc/RmtInf/OrgnlPmtInf/Amt/InstdAmt/@Ccy</t>
  </si>
  <si>
    <t>2.384</t>
  </si>
  <si>
    <t>Document/RmtAdvc/RmtInf/OrgnlPmtInf/Amt/InstdAmt/@Ccy</t>
  </si>
  <si>
    <t>2.480</t>
  </si>
  <si>
    <t>RmtAdvc/RmtInf/OrgnlPmtInf/ReqdExctnDt</t>
  </si>
  <si>
    <t>2.394</t>
  </si>
  <si>
    <t>Document/RmtAdvc/RmtInf/OrgnlPmtInf/ReqdExctnDt/Dt</t>
  </si>
  <si>
    <t>2.491</t>
  </si>
  <si>
    <t>Document/RmtAdvc/RmtInf/OrgnlPmtInf/ReqdExctnDt/DtTm</t>
  </si>
  <si>
    <t>2.492</t>
  </si>
  <si>
    <t>RmtAdvc/RmtInf/OrgnlPmtInf/Dbtr/Nm</t>
  </si>
  <si>
    <t>2.397</t>
  </si>
  <si>
    <t>Document/RmtAdvc/RmtInf/OrgnlPmtInf/Dbtr/Nm</t>
  </si>
  <si>
    <t>2.495</t>
  </si>
  <si>
    <t>Document/RmtAdvc/RmtInf/OrgnlPmtInf/DbtrAcct/Id/Othr/Id</t>
  </si>
  <si>
    <t>2.560</t>
  </si>
  <si>
    <t>RmtAdvc/RmtInf/OrgnlPmtInf/DbtrAgt/FinInstnId/ClrSysMmbId/MmbId</t>
  </si>
  <si>
    <t>2.460</t>
  </si>
  <si>
    <t>Document/RmtAdvc/RmtInf/OrgnlPmtInf/DbtrAgt/FinInstnId/ClrSysMmbId/MmbId</t>
  </si>
  <si>
    <t>2.582</t>
  </si>
  <si>
    <r>
      <rPr>
        <sz val="11"/>
        <rFont val="Calibri"/>
        <family val="2"/>
        <charset val="1"/>
      </rPr>
      <t>Direct Map - If includes an alphabetic character</t>
    </r>
    <r>
      <rPr>
        <sz val="11"/>
        <color rgb="FFFF0000"/>
        <rFont val="Calibri"/>
        <family val="2"/>
        <charset val="1"/>
      </rPr>
      <t xml:space="preserve">, reject with version incompatibility reason code. </t>
    </r>
  </si>
  <si>
    <t>RmtAdvc/RmtInf/OrgnlPmtInf/Cdtr/Nm</t>
  </si>
  <si>
    <t>2.494</t>
  </si>
  <si>
    <t>Document/RmtAdvc/RmtInf/OrgnlPmtInf/Cdtr/Nm</t>
  </si>
  <si>
    <t>2.640</t>
  </si>
  <si>
    <t>Document/RmtAdvc/RmtInf/OrgnlPmtInf/CdtrAcct/Id/Othr/Id</t>
  </si>
  <si>
    <t>2.705</t>
  </si>
  <si>
    <t>RmtAdvc/RmtInf/OrgnlPmtInf/CdtrAgt/FinInstnId/ClrSysMmbId/MmbId</t>
  </si>
  <si>
    <t>2.557</t>
  </si>
  <si>
    <t>Document/RmtAdvc/RmtInf/OrgnlPmtInf/CdtrAgt/FinInstnId/ClrSysMmbId/MmbId</t>
  </si>
  <si>
    <t>2.727</t>
  </si>
  <si>
    <t>2.8 Local Instrument</t>
  </si>
  <si>
    <t>2.9 Local Instrument</t>
  </si>
  <si>
    <t>2.9 Category Purpose</t>
  </si>
  <si>
    <t>Consumer</t>
  </si>
  <si>
    <t>Foreign Affiliate</t>
  </si>
  <si>
    <t>Business</t>
  </si>
  <si>
    <t>Intermediary</t>
  </si>
  <si>
    <t>Zelle</t>
  </si>
  <si>
    <t>Standard</t>
  </si>
  <si>
    <t>FAConsumer</t>
  </si>
  <si>
    <t>FABusiness</t>
  </si>
  <si>
    <t>2.9 sender to 2.8 receiver</t>
  </si>
  <si>
    <t>2.9 Local Inst/CatPurp Values</t>
  </si>
  <si>
    <t>2.8 Mapping (Local Inst)</t>
  </si>
  <si>
    <t>2.8 Mapping (Other)</t>
  </si>
  <si>
    <t>Foreign Affiliate/Consumer</t>
  </si>
  <si>
    <t>None</t>
  </si>
  <si>
    <t>Foreign Affiliate/Business</t>
  </si>
  <si>
    <t>Intermediary/Business</t>
  </si>
  <si>
    <t>Standard/Consumer</t>
  </si>
  <si>
    <t>Standard/Business</t>
  </si>
  <si>
    <t>Zelle/Consumer</t>
  </si>
  <si>
    <t>Zelle/Business</t>
  </si>
  <si>
    <t>2.8 sender to 2.9 receiver</t>
  </si>
  <si>
    <t>2.8 Values</t>
  </si>
  <si>
    <t>2.9 Mapping (Local Inst)</t>
  </si>
  <si>
    <t>2.9 Mapping (CatPur)</t>
  </si>
  <si>
    <t xml:space="preserve">* TCH to instruct FIs to use the Zelle Product Type embedded in the instruction ID to determine if this is a B2C or P2P message. </t>
  </si>
  <si>
    <t xml:space="preserve">For 2.9 mapping to a 2.8 recipient: </t>
  </si>
  <si>
    <t xml:space="preserve">If Ultimate Debtor is present, and Ultimate Creditor is not present, map Ultimate Debtor Name and Postal Address as described below. </t>
  </si>
  <si>
    <t xml:space="preserve">If Ultimate Creditor is present, and Ultimate Debtor is not present, map Ultimate Creditor Name and Postal Address as described below. </t>
  </si>
  <si>
    <t xml:space="preserve">If both Ultimate Debtor and Ultimate Creditor are present, reject the message. </t>
  </si>
  <si>
    <t>Field</t>
  </si>
  <si>
    <t>Max Length</t>
  </si>
  <si>
    <t>Handling Rules</t>
  </si>
  <si>
    <t xml:space="preserve">Name: </t>
  </si>
  <si>
    <r>
      <rPr>
        <strike/>
        <sz val="11"/>
        <color rgb="FF000000"/>
        <rFont val="Calibri"/>
        <family val="2"/>
        <charset val="1"/>
      </rPr>
      <t>"Debtor" OBO "Ultimate Debtor" "Other ID"</t>
    </r>
    <r>
      <rPr>
        <sz val="11"/>
        <color rgb="FFFF0000"/>
        <rFont val="Calibri"/>
        <family val="2"/>
        <charset val="1"/>
      </rPr>
      <t xml:space="preserve"> </t>
    </r>
    <r>
      <rPr>
        <sz val="11"/>
        <color rgb="FFFF0000"/>
        <rFont val="Calibri"/>
        <family val="2"/>
      </rPr>
      <t>"Debtor"OBO[space]"Ultimate Debtor"["Other ID" OR  "LEI"]</t>
    </r>
  </si>
  <si>
    <r>
      <rPr>
        <strike/>
        <sz val="11"/>
        <color rgb="FF000000"/>
        <rFont val="Calibri"/>
        <family val="2"/>
        <charset val="1"/>
      </rPr>
      <t>"Creditor" FBO "Ultimate Creditor" "Other ID"</t>
    </r>
    <r>
      <rPr>
        <sz val="11"/>
        <color rgb="FF000000"/>
        <rFont val="Calibri"/>
        <family val="2"/>
        <charset val="1"/>
      </rPr>
      <t xml:space="preserve"> </t>
    </r>
    <r>
      <rPr>
        <sz val="11"/>
        <color rgb="FFFF0000"/>
        <rFont val="Calibri"/>
        <family val="2"/>
      </rPr>
      <t>"Creditor"FBO[space]"Ultimate Creditor"["Other ID" OR  "LEI"]</t>
    </r>
  </si>
  <si>
    <r>
      <rPr>
        <sz val="11"/>
        <color rgb="FF000000"/>
        <rFont val="Calibri"/>
        <family val="2"/>
        <charset val="1"/>
      </rPr>
      <t>Truncate Creditor/Debtor name so that full ultimate creditor/debtor name appears. If truncation is required, and ultimate debtor name is &gt;85 characters, truncate and show the first 16 characters of Debtor/Creditor, then "OBO[space]" first 85 characters of ultimate Debtor/Creditor, then 35 characters for 'Other ID' or 'LEI'. If the Debtor/Creditor name is shorter than 16 characters, and truncation is still required, fit as much of the Ultimate Party name as possible while maintaining full content of Debtor/Creditor name, "OBO[space]", and 'Other ID'/</t>
    </r>
    <r>
      <rPr>
        <sz val="11"/>
        <color rgb="FFFF0000"/>
        <rFont val="Calibri"/>
        <family val="2"/>
        <charset val="1"/>
      </rPr>
      <t>’LEI’</t>
    </r>
    <r>
      <rPr>
        <sz val="11"/>
        <color rgb="FF000000"/>
        <rFont val="Calibri"/>
        <family val="2"/>
        <charset val="1"/>
      </rPr>
      <t>. Always reserve the last 35 characters for "Other ID"/</t>
    </r>
    <r>
      <rPr>
        <sz val="11"/>
        <color rgb="FFFF0000"/>
        <rFont val="Calibri"/>
        <family val="2"/>
        <charset val="1"/>
      </rPr>
      <t xml:space="preserve">’LEI’ if ‘Id’ is present. </t>
    </r>
  </si>
  <si>
    <t>Postal Address</t>
  </si>
  <si>
    <t>n/a</t>
  </si>
  <si>
    <t xml:space="preserve">If Ultimate party address is present, map to "Ustrd" remittance inf field as follows. Drop any information that is in Ustrd. </t>
  </si>
  <si>
    <r>
      <rPr>
        <strike/>
        <sz val="11"/>
        <color rgb="FF000000"/>
        <rFont val="Calibri"/>
        <family val="2"/>
        <charset val="1"/>
      </rPr>
      <t xml:space="preserve">[6Bldng Nb] [1StrtNm] [2TwnNm] [5CntrySubDiv] [4PostCd] [3Cntry] </t>
    </r>
    <r>
      <rPr>
        <sz val="11"/>
        <color rgb="FFFF0000"/>
        <rFont val="Calibri"/>
        <family val="2"/>
      </rPr>
      <t>[6Bldng Nb][1StrtNm][2TwnNm][5CntrySubDiv][4PostCd][3Cntry] (no delimiter)</t>
    </r>
  </si>
  <si>
    <t xml:space="preserve">Truncation should only be done if necessary. Truncate the fields starting with the last character of 6 (Building Number) and moving up the list as necessary (5 then 4). Based on max length, Street Name, Town Name, and Country should never be truncated. In a worst case scenario, use the field lengths as listed below for each of the fields. </t>
  </si>
  <si>
    <t>BldngNb</t>
  </si>
  <si>
    <t>PostCd</t>
  </si>
  <si>
    <t>CntrySubDiv</t>
  </si>
  <si>
    <t>Cntry</t>
  </si>
  <si>
    <t>Example Nm:</t>
  </si>
  <si>
    <r>
      <rPr>
        <strike/>
        <sz val="11"/>
        <color rgb="FF000000"/>
        <rFont val="Calibri"/>
        <family val="2"/>
        <charset val="1"/>
      </rPr>
      <t>Broker Five OBO Mike Thomas mike1122334</t>
    </r>
    <r>
      <rPr>
        <sz val="11"/>
        <color rgb="FF000000"/>
        <rFont val="Calibri"/>
        <family val="2"/>
        <charset val="1"/>
      </rPr>
      <t xml:space="preserve"> </t>
    </r>
    <r>
      <rPr>
        <sz val="11"/>
        <color rgb="FFFF0000"/>
        <rFont val="Calibri"/>
        <family val="2"/>
      </rPr>
      <t>Broker FiveOBO Mike Thomasmike1122334</t>
    </r>
  </si>
  <si>
    <t>16 chars of creditor name</t>
  </si>
  <si>
    <t>FBO[space]</t>
  </si>
  <si>
    <t>85 characters of Ultimate Creditor name</t>
  </si>
  <si>
    <r>
      <rPr>
        <sz val="11"/>
        <color rgb="FF000000"/>
        <rFont val="Calibri"/>
        <family val="2"/>
        <charset val="1"/>
      </rPr>
      <t xml:space="preserve">35 characters of "Other ID" </t>
    </r>
    <r>
      <rPr>
        <sz val="11"/>
        <color rgb="FFFF0000"/>
        <rFont val="Calibri"/>
        <family val="2"/>
        <charset val="1"/>
      </rPr>
      <t xml:space="preserve">OR </t>
    </r>
    <r>
      <rPr>
        <sz val="11"/>
        <color rgb="FFFF0000"/>
        <rFont val="Calibri"/>
        <family val="2"/>
      </rPr>
      <t xml:space="preserve">"LEI" if ‘Id’ is present </t>
    </r>
  </si>
  <si>
    <t>Map to 2.9 value</t>
  </si>
  <si>
    <t>Map to 2.8 Value</t>
  </si>
  <si>
    <t>Document/FIToFIPmtStsRpt/OrgnlGrpInfAndSts/OrgnlMsgNmId</t>
  </si>
  <si>
    <t>camt.026.001.05</t>
  </si>
  <si>
    <t>camt.026.001.07</t>
  </si>
  <si>
    <t>acmt.022.001.02</t>
  </si>
  <si>
    <t>camt.028.001.06</t>
  </si>
  <si>
    <t>camt.028.001.09</t>
  </si>
  <si>
    <t>camt.029.001.06</t>
  </si>
  <si>
    <t>camt.029.001.09</t>
  </si>
  <si>
    <t>camt.035.001.03</t>
  </si>
  <si>
    <t>camt.035.001.05</t>
  </si>
  <si>
    <t>camt.056.001.05</t>
  </si>
  <si>
    <t>camt.056.001.08</t>
  </si>
  <si>
    <t>pacs.002.001.07</t>
  </si>
  <si>
    <t>pacs.002.001.10</t>
  </si>
  <si>
    <t>pain.013.001.05</t>
  </si>
  <si>
    <t>pain.014.001.05</t>
  </si>
  <si>
    <t>pain.014.001.07</t>
  </si>
  <si>
    <t>pacs.009.001.08</t>
  </si>
  <si>
    <t>remt.001.001.02</t>
  </si>
  <si>
    <t>remt.001.001.04</t>
  </si>
  <si>
    <t>pacs.028.001.03</t>
  </si>
  <si>
    <t>Document/FIToFIPmtStsRpt/TxInfAndSts/StsRsnInf/Rsn/Cd</t>
  </si>
  <si>
    <t>AC02</t>
  </si>
  <si>
    <t>AC03</t>
  </si>
  <si>
    <t>AC04</t>
  </si>
  <si>
    <t>AC06</t>
  </si>
  <si>
    <t>AC07</t>
  </si>
  <si>
    <t>AC10</t>
  </si>
  <si>
    <t>NARR w/ /AC10/ in first 6 chars of AddtlInf</t>
  </si>
  <si>
    <t>AG01</t>
  </si>
  <si>
    <t>AC11</t>
  </si>
  <si>
    <t>NARR w/ /AC11/ in first 6 chars of AddtlInf</t>
  </si>
  <si>
    <t>AG03</t>
  </si>
  <si>
    <t>AC13</t>
  </si>
  <si>
    <t>NARR w/ /AC13/ in first 6 chars of AddtlInf</t>
  </si>
  <si>
    <t>AGNT</t>
  </si>
  <si>
    <t>NARR w/ /AGNT/ in first 6 chars of AddtlInf</t>
  </si>
  <si>
    <t>AC14</t>
  </si>
  <si>
    <t>NARR w/ /AC14/ in first 6 chars of AddtlInf</t>
  </si>
  <si>
    <t>AM02</t>
  </si>
  <si>
    <t>AM04</t>
  </si>
  <si>
    <t>AM09</t>
  </si>
  <si>
    <t>AM11</t>
  </si>
  <si>
    <t>AM12</t>
  </si>
  <si>
    <t>AM13</t>
  </si>
  <si>
    <t>AM14</t>
  </si>
  <si>
    <t>BE04</t>
  </si>
  <si>
    <t>BE06</t>
  </si>
  <si>
    <t>BE07</t>
  </si>
  <si>
    <t>BE10</t>
  </si>
  <si>
    <t>BE11</t>
  </si>
  <si>
    <t>BE13</t>
  </si>
  <si>
    <t>BE14</t>
  </si>
  <si>
    <t>BE16</t>
  </si>
  <si>
    <t>BE17</t>
  </si>
  <si>
    <t>DS0H</t>
  </si>
  <si>
    <t>DS24</t>
  </si>
  <si>
    <t>DT04</t>
  </si>
  <si>
    <t>DUPL</t>
  </si>
  <si>
    <t>FF02</t>
  </si>
  <si>
    <t>FF03</t>
  </si>
  <si>
    <t>FF08</t>
  </si>
  <si>
    <t>MD07</t>
  </si>
  <si>
    <t>RC01</t>
  </si>
  <si>
    <t>RC02</t>
  </si>
  <si>
    <t>RC03</t>
  </si>
  <si>
    <t>RC04</t>
  </si>
  <si>
    <t>TM01</t>
  </si>
  <si>
    <t>NARR w/ /TM01/ in first 6 chars of AddtlInf</t>
  </si>
  <si>
    <t>Document/FIToFIPmtStsRpt/TxInfAndSts/StsRsnInf/Rsn/Prtry</t>
  </si>
  <si>
    <t>NOAT</t>
  </si>
  <si>
    <t>1100 w/ /9953/ in first 6 chars of AddtlInf</t>
  </si>
  <si>
    <t>1100 w/ /9956/ in first 6 chars of AddtlInf</t>
  </si>
  <si>
    <t>1100 w/ /9957/ in first 6 chars of AddtlInf</t>
  </si>
  <si>
    <t>1100 w/ /9964/ in first 6 chars of AddtlInf</t>
  </si>
  <si>
    <t>StsRsnInf/Rsn/Cd</t>
  </si>
  <si>
    <t>Map to NARR, and include BE04 in AddlInf (truncate AddlInf as necessary to fit /BE04/)</t>
  </si>
  <si>
    <t>CH11</t>
  </si>
  <si>
    <t>Map to NARR, and include the following in AddlInf: /CH11/Customer indicates creditor is unknown</t>
  </si>
  <si>
    <t>Map to NARR, and include BE07 in AddlInf (truncate AddlInf as necessary to fit /BE07/)</t>
  </si>
  <si>
    <t>CUST</t>
  </si>
  <si>
    <t>Map to NARR, and include the following in AddlInf: /CUST/Customer declined to pay</t>
  </si>
  <si>
    <t>DS04</t>
  </si>
  <si>
    <t>Map to NARR, and include the following in AddlInf: /DS04/Participant reject due to content concern</t>
  </si>
  <si>
    <t>StsRsnInf/Rsn/Prtry</t>
  </si>
  <si>
    <t>2.8 to 2.9 message mapping</t>
  </si>
  <si>
    <t>2.9 to 2.8 message mapping</t>
  </si>
  <si>
    <t>2.8 Code</t>
  </si>
  <si>
    <t>2.9 Map Code</t>
  </si>
  <si>
    <t>2.9 Code</t>
  </si>
  <si>
    <t>2.8 Map Code</t>
  </si>
  <si>
    <t>Other Info</t>
  </si>
  <si>
    <t>Document/FIToFIPmtCxlReq/Undrlyg/TxInf/CxlRsnInf/Rsn/Cd</t>
  </si>
  <si>
    <t>Map to CUST</t>
  </si>
  <si>
    <t xml:space="preserve">Carry /AC03/ in "Additional Information" Truncate "Additional Information" by 6 characters, if necessary. </t>
  </si>
  <si>
    <t xml:space="preserve">Carry /AM09/ in "Additional Information" Truncate "Additional Information" by 6 characters, if necessary. </t>
  </si>
  <si>
    <t xml:space="preserve">Carry /CUST/ in "Additional Information" Truncate "Additional Information" by 6 characters, if necessary. </t>
  </si>
  <si>
    <t>FRAD</t>
  </si>
  <si>
    <t>TECH</t>
  </si>
  <si>
    <t>FRTR</t>
  </si>
  <si>
    <t xml:space="preserve">Carry /FRTR/ in "Additional Information" Truncate "Additional Information" by 6 characters, if necessary. </t>
  </si>
  <si>
    <t>UPAY</t>
  </si>
  <si>
    <t xml:space="preserve">For RFP Expiry use only. No mapping needed. </t>
  </si>
  <si>
    <t>Document/FIToFIPmtCxlReq/Undrlyg/TxInf/CxlRsnInf/Rsn/Prtry</t>
  </si>
  <si>
    <t>WIAM</t>
  </si>
  <si>
    <t xml:space="preserve">Carry /WIAM/ in "Additional Information" Truncate "Additional Information" by 6 characters, if necessary. </t>
  </si>
  <si>
    <t>WICT</t>
  </si>
  <si>
    <t xml:space="preserve">Carry /WICT/ in "Additional Information" Truncate "Additional Information" by 6 characters, if necessary. </t>
  </si>
  <si>
    <t>WIDP</t>
  </si>
  <si>
    <t xml:space="preserve">Carry /WIDP/ in "Additional Information" Truncate "Additional Information" by 6 characters, if necessary. </t>
  </si>
  <si>
    <t>WIFD</t>
  </si>
  <si>
    <t xml:space="preserve">Carry /WIFD/ in "Additional Information" Truncate "Additional Information" by 6 characters, if necessary. </t>
  </si>
  <si>
    <t>WIFT</t>
  </si>
  <si>
    <t xml:space="preserve">Carry /WIFT/ in "Additional Information" Truncate "Additional Information" by 6 characters, if necessary. </t>
  </si>
  <si>
    <t>WITH</t>
  </si>
  <si>
    <t xml:space="preserve">Carry /WITH/ in "Additional Information" Truncate "Additional Information" by 6 characters, if necessary. </t>
  </si>
  <si>
    <t xml:space="preserve">Direct Map -  If includes an alphabetic character, reject with version incompatibility reason code. </t>
  </si>
  <si>
    <t>SL03</t>
  </si>
  <si>
    <t>TK01</t>
  </si>
  <si>
    <t>TK02</t>
  </si>
  <si>
    <t>TK03</t>
  </si>
  <si>
    <t>TK04</t>
  </si>
  <si>
    <t>TK05</t>
  </si>
  <si>
    <t>TK06</t>
  </si>
  <si>
    <t>TK07</t>
  </si>
  <si>
    <t>TK08</t>
  </si>
  <si>
    <t>TK09</t>
  </si>
  <si>
    <t>?</t>
  </si>
  <si>
    <t>decide what the rule should be</t>
  </si>
  <si>
    <t>Changed by</t>
  </si>
  <si>
    <t>Change summary</t>
  </si>
  <si>
    <t>Date</t>
  </si>
  <si>
    <t>Version</t>
  </si>
  <si>
    <t>RTP Message Mapping Release 2.9 VL updated changes.</t>
  </si>
  <si>
    <t>Amended the following;
Pacs.008 - ClrSysRef 
Camt.028 - debtor/creditor LEI - 2.9 to 2.8 mapping.
Camt.035 - removed red marks not required.
Reason codes(pacs.002) Added 11 new codes and marked with red.</t>
  </si>
  <si>
    <t>Ezinwa Ezebuiro/ Denis Forrest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</si>
</sst>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1"/>
      <color rgb="FF000000"/>
      <name val="Calibri"/>
      <family val="2"/>
      <charset val="1"/>
    </font>
    <font>
      <b/>
      <sz val="14"/>
      <color rgb="FF1F497D"/>
      <name val="Calibri"/>
      <family val="2"/>
      <charset val="1"/>
    </font>
    <font>
      <sz val="11"/>
      <color rgb="FF262626"/>
      <name val="Calibri"/>
      <family val="2"/>
      <charset val="1"/>
    </font>
    <font>
      <b/>
      <sz val="11"/>
      <color rgb="FF1F497D"/>
      <name val="Calibri"/>
      <family val="2"/>
      <charset val="1"/>
    </font>
    <font>
      <sz val="11"/>
      <name val="Calibri"/>
      <family val="2"/>
      <charset val="1"/>
    </font>
    <font>
      <sz val="11"/>
      <color rgb="FFFF0000"/>
      <name val="Calibri"/>
      <family val="2"/>
      <charset val="1"/>
    </font>
    <font>
      <sz val="11"/>
      <color rgb="FFFF0000"/>
      <name val="Calibri"/>
      <family val="2"/>
    </font>
    <font>
      <b/>
      <sz val="11"/>
      <color rgb="FF000000"/>
      <name val="Calibri"/>
      <family val="2"/>
      <charset val="1"/>
    </font>
    <font>
      <b/>
      <sz val="11"/>
      <name val="Calibri"/>
      <family val="2"/>
      <charset val="1"/>
    </font>
    <font>
      <sz val="11"/>
      <color rgb="FF404040"/>
      <name val="Calibri"/>
      <family val="2"/>
      <charset val="1"/>
    </font>
    <font>
      <b/>
      <sz val="9"/>
      <color rgb="FF000000"/>
      <name val="Tahoma"/>
      <family val="2"/>
      <charset val="1"/>
    </font>
    <font>
      <sz val="9"/>
      <color rgb="FF000000"/>
      <name val="Tahoma"/>
      <family val="2"/>
      <charset val="1"/>
    </font>
    <font>
      <strike/>
      <sz val="11"/>
      <color rgb="FF000000"/>
      <name val="Calibri"/>
      <family val="2"/>
      <charset val="1"/>
    </font>
    <font>
      <b/>
      <sz val="11"/>
      <color theme="1"/>
      <name val="Calibri"/>
      <family val="2"/>
      <scheme val="minor"/>
    </font>
    <font>
      <sz val="11"/>
      <color theme="1"/>
      <name val="Calibri"/>
      <family val="2"/>
      <charset val="1"/>
    </font>
    <font>
      <sz val="11"/>
      <color rgb="FFFF0000"/>
      <name val="Segoe UI"/>
      <family val="2"/>
    </font>
    <font>
      <sz val="10"/>
      <name val="Arial"/>
      <family val="2"/>
    </font>
    <font>
      <b/>
      <sz val="14"/>
      <color theme="1"/>
      <name val="Calibri"/>
      <family val="2"/>
      <scheme val="minor"/>
    </font>
  </fonts>
  <fills count="11">
    <fill>
      <patternFill patternType="none"/>
    </fill>
    <fill>
      <patternFill patternType="gray125"/>
    </fill>
    <fill>
      <patternFill patternType="solid">
        <fgColor rgb="FFD9D9D9"/>
        <bgColor rgb="FFCCC1DA"/>
      </patternFill>
    </fill>
    <fill>
      <patternFill patternType="solid">
        <fgColor rgb="FFFFFF00"/>
        <bgColor rgb="FFFFFF00"/>
      </patternFill>
    </fill>
    <fill>
      <patternFill patternType="solid">
        <fgColor rgb="FFFCD5B5"/>
        <bgColor rgb="FFD9D9D9"/>
      </patternFill>
    </fill>
    <fill>
      <patternFill patternType="solid">
        <fgColor rgb="FFFFC000"/>
        <bgColor rgb="FFFF9900"/>
      </patternFill>
    </fill>
    <fill>
      <patternFill patternType="solid">
        <fgColor rgb="FFFF0000"/>
        <bgColor rgb="FF993300"/>
      </patternFill>
    </fill>
    <fill>
      <patternFill patternType="solid">
        <fgColor rgb="FF00B0F0"/>
        <bgColor rgb="FF33CCCC"/>
      </patternFill>
    </fill>
    <fill>
      <patternFill patternType="solid">
        <fgColor rgb="FFA6A6A6"/>
        <bgColor rgb="FF95B3D7"/>
      </patternFill>
    </fill>
    <fill>
      <patternFill patternType="solid">
        <fgColor theme="0" tint="-0.14999847407452621"/>
        <bgColor indexed="64"/>
      </patternFill>
    </fill>
    <fill>
      <patternFill patternType="solid">
        <fgColor theme="4" tint="0.59999389629810485"/>
        <bgColor indexed="64"/>
      </patternFill>
    </fill>
  </fills>
  <borders count="40">
    <border>
      <left/>
      <right/>
      <top/>
      <bottom/>
      <diagonal/>
    </border>
    <border>
      <left/>
      <right/>
      <top/>
      <bottom style="medium">
        <color rgb="FF95B3D7"/>
      </bottom>
      <diagonal/>
    </border>
    <border>
      <left style="medium">
        <color auto="1"/>
      </left>
      <right style="thin">
        <color auto="1"/>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right style="medium">
        <color auto="1"/>
      </right>
      <top/>
      <bottom/>
      <diagonal/>
    </border>
    <border>
      <left style="medium">
        <color auto="1"/>
      </left>
      <right style="thin">
        <color auto="1"/>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thin">
        <color auto="1"/>
      </bottom>
      <diagonal/>
    </border>
    <border>
      <left style="medium">
        <color auto="1"/>
      </left>
      <right/>
      <top/>
      <bottom style="thin">
        <color auto="1"/>
      </bottom>
      <diagonal/>
    </border>
    <border>
      <left style="thin">
        <color auto="1"/>
      </left>
      <right/>
      <top style="thin">
        <color auto="1"/>
      </top>
      <bottom style="thin">
        <color auto="1"/>
      </bottom>
      <diagonal/>
    </border>
    <border>
      <left/>
      <right style="medium">
        <color auto="1"/>
      </right>
      <top/>
      <bottom style="thin">
        <color auto="1"/>
      </bottom>
      <diagonal/>
    </border>
    <border>
      <left style="medium">
        <color auto="1"/>
      </left>
      <right/>
      <top/>
      <bottom/>
      <diagonal/>
    </border>
    <border>
      <left style="thin">
        <color auto="1"/>
      </left>
      <right/>
      <top/>
      <bottom/>
      <diagonal/>
    </border>
    <border>
      <left style="medium">
        <color auto="1"/>
      </left>
      <right/>
      <top/>
      <bottom style="medium">
        <color auto="1"/>
      </bottom>
      <diagonal/>
    </border>
    <border>
      <left style="thin">
        <color auto="1"/>
      </left>
      <right/>
      <top/>
      <bottom style="medium">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medium">
        <color auto="1"/>
      </top>
      <bottom style="medium">
        <color rgb="FF95B3D7"/>
      </bottom>
      <diagonal/>
    </border>
    <border>
      <left/>
      <right/>
      <top style="medium">
        <color auto="1"/>
      </top>
      <bottom style="medium">
        <color rgb="FF95B3D7"/>
      </bottom>
      <diagonal/>
    </border>
    <border>
      <left/>
      <right style="medium">
        <color auto="1"/>
      </right>
      <top style="medium">
        <color auto="1"/>
      </top>
      <bottom style="medium">
        <color rgb="FF95B3D7"/>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style="medium">
        <color auto="1"/>
      </right>
      <top style="medium">
        <color auto="1"/>
      </top>
      <bottom style="medium">
        <color auto="1"/>
      </bottom>
      <diagonal/>
    </border>
    <border>
      <left/>
      <right style="thin">
        <color auto="1"/>
      </right>
      <top/>
      <bottom style="thin">
        <color auto="1"/>
      </bottom>
      <diagonal/>
    </border>
    <border>
      <left style="thin">
        <color auto="1"/>
      </left>
      <right style="medium">
        <color auto="1"/>
      </right>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0" fontId="3" fillId="0" borderId="1" applyProtection="0"/>
    <xf numFmtId="0" fontId="16" fillId="0" borderId="0"/>
  </cellStyleXfs>
  <cellXfs count="122">
    <xf numFmtId="0" fontId="0" fillId="0" borderId="0" xfId="0"/>
    <xf numFmtId="0" fontId="1" fillId="0" borderId="0" xfId="0" applyFont="1" applyAlignment="1">
      <alignment vertical="center" wrapText="1"/>
    </xf>
    <xf numFmtId="0" fontId="0" fillId="0" borderId="0" xfId="0" applyAlignment="1">
      <alignment horizontal="left" vertical="center" wrapText="1" indent="9"/>
    </xf>
    <xf numFmtId="0" fontId="2" fillId="0" borderId="0" xfId="0" applyFont="1" applyAlignment="1">
      <alignment vertical="top" wrapText="1"/>
    </xf>
    <xf numFmtId="0" fontId="0" fillId="0" borderId="0" xfId="0" applyFont="1" applyAlignment="1">
      <alignment wrapText="1"/>
    </xf>
    <xf numFmtId="0" fontId="0" fillId="2" borderId="0" xfId="0" applyFont="1" applyFill="1" applyAlignment="1">
      <alignment wrapText="1"/>
    </xf>
    <xf numFmtId="0" fontId="0" fillId="3" borderId="0" xfId="0" applyFont="1" applyFill="1" applyAlignment="1">
      <alignment wrapText="1"/>
    </xf>
    <xf numFmtId="0" fontId="0" fillId="4" borderId="0" xfId="0" applyFont="1" applyFill="1" applyAlignment="1">
      <alignment wrapText="1"/>
    </xf>
    <xf numFmtId="0" fontId="0" fillId="5" borderId="0" xfId="0" applyFont="1" applyFill="1" applyAlignment="1">
      <alignment wrapText="1"/>
    </xf>
    <xf numFmtId="0" fontId="0" fillId="6" borderId="0" xfId="0" applyFont="1" applyFill="1" applyAlignment="1">
      <alignment wrapText="1"/>
    </xf>
    <xf numFmtId="0" fontId="0" fillId="7" borderId="0" xfId="0" applyFont="1" applyFill="1" applyAlignment="1">
      <alignment wrapText="1"/>
    </xf>
    <xf numFmtId="0" fontId="3" fillId="0" borderId="1" xfId="1" applyFont="1" applyAlignment="1" applyProtection="1">
      <alignment wrapText="1"/>
    </xf>
    <xf numFmtId="0" fontId="0" fillId="0" borderId="0" xfId="0" applyFont="1"/>
    <xf numFmtId="49" fontId="0" fillId="0" borderId="0" xfId="0" applyNumberFormat="1" applyFont="1"/>
    <xf numFmtId="0" fontId="4" fillId="0" borderId="0" xfId="0" applyFont="1"/>
    <xf numFmtId="49" fontId="4" fillId="0" borderId="0" xfId="0" applyNumberFormat="1" applyFont="1"/>
    <xf numFmtId="0" fontId="7" fillId="0" borderId="0" xfId="0" applyFont="1"/>
    <xf numFmtId="0" fontId="4" fillId="0" borderId="0" xfId="0" applyFont="1" applyAlignment="1">
      <alignment wrapText="1"/>
    </xf>
    <xf numFmtId="0" fontId="8" fillId="0" borderId="1" xfId="1" applyFont="1" applyAlignment="1" applyProtection="1">
      <alignment wrapText="1"/>
    </xf>
    <xf numFmtId="0" fontId="4" fillId="2" borderId="0" xfId="0" applyFont="1" applyFill="1"/>
    <xf numFmtId="49" fontId="4" fillId="2" borderId="0" xfId="0" applyNumberFormat="1" applyFont="1" applyFill="1"/>
    <xf numFmtId="0" fontId="4" fillId="7" borderId="0" xfId="0" applyFont="1" applyFill="1"/>
    <xf numFmtId="49" fontId="4" fillId="7" borderId="0" xfId="0" applyNumberFormat="1" applyFont="1" applyFill="1"/>
    <xf numFmtId="0" fontId="4" fillId="8" borderId="0" xfId="0" applyFont="1" applyFill="1"/>
    <xf numFmtId="49" fontId="4" fillId="8" borderId="0" xfId="0" applyNumberFormat="1" applyFont="1" applyFill="1"/>
    <xf numFmtId="0" fontId="4" fillId="4" borderId="0" xfId="0" applyFont="1" applyFill="1"/>
    <xf numFmtId="49" fontId="4" fillId="4" borderId="0" xfId="0" applyNumberFormat="1" applyFont="1" applyFill="1"/>
    <xf numFmtId="0" fontId="4" fillId="5" borderId="0" xfId="0" applyFont="1" applyFill="1"/>
    <xf numFmtId="49" fontId="4" fillId="5" borderId="0" xfId="0" applyNumberFormat="1" applyFont="1" applyFill="1"/>
    <xf numFmtId="0" fontId="8" fillId="5" borderId="0" xfId="0" applyFont="1" applyFill="1"/>
    <xf numFmtId="0" fontId="8" fillId="7" borderId="0" xfId="0" applyFont="1" applyFill="1"/>
    <xf numFmtId="0" fontId="4" fillId="7" borderId="0" xfId="0" applyFont="1" applyFill="1" applyAlignment="1">
      <alignment wrapText="1"/>
    </xf>
    <xf numFmtId="0" fontId="5" fillId="0" borderId="0" xfId="0" applyFont="1"/>
    <xf numFmtId="49" fontId="0" fillId="0" borderId="0" xfId="0" applyNumberFormat="1"/>
    <xf numFmtId="49" fontId="5" fillId="0" borderId="0" xfId="0" applyNumberFormat="1" applyFont="1"/>
    <xf numFmtId="0" fontId="0" fillId="2" borderId="0" xfId="0" applyFont="1" applyFill="1"/>
    <xf numFmtId="49" fontId="0" fillId="2" borderId="0" xfId="0" applyNumberFormat="1" applyFont="1" applyFill="1"/>
    <xf numFmtId="0" fontId="0" fillId="4" borderId="0" xfId="0" applyFont="1" applyFill="1"/>
    <xf numFmtId="49" fontId="0" fillId="4" borderId="0" xfId="0" applyNumberFormat="1" applyFont="1" applyFill="1"/>
    <xf numFmtId="0" fontId="0" fillId="3" borderId="0" xfId="0" applyFill="1"/>
    <xf numFmtId="49" fontId="0" fillId="3" borderId="0" xfId="0" applyNumberFormat="1" applyFont="1" applyFill="1"/>
    <xf numFmtId="0" fontId="0" fillId="5" borderId="0" xfId="0" applyFont="1" applyFill="1"/>
    <xf numFmtId="49" fontId="0" fillId="5" borderId="0" xfId="0" applyNumberFormat="1" applyFont="1" applyFill="1"/>
    <xf numFmtId="0" fontId="0" fillId="8" borderId="0" xfId="0" applyFill="1"/>
    <xf numFmtId="49" fontId="0" fillId="8" borderId="0" xfId="0" applyNumberFormat="1" applyFont="1" applyFill="1"/>
    <xf numFmtId="0" fontId="7" fillId="8" borderId="0" xfId="0" applyFont="1" applyFill="1"/>
    <xf numFmtId="0" fontId="0" fillId="7" borderId="0" xfId="0" applyFill="1"/>
    <xf numFmtId="49" fontId="0" fillId="7" borderId="0" xfId="0" applyNumberFormat="1" applyFont="1" applyFill="1"/>
    <xf numFmtId="0" fontId="0" fillId="0" borderId="0" xfId="0" applyAlignment="1">
      <alignment wrapText="1"/>
    </xf>
    <xf numFmtId="0" fontId="9" fillId="0" borderId="0" xfId="0" applyFont="1"/>
    <xf numFmtId="49" fontId="9" fillId="0" borderId="0" xfId="0" applyNumberFormat="1" applyFont="1"/>
    <xf numFmtId="0" fontId="6" fillId="0" borderId="0" xfId="0" applyFont="1"/>
    <xf numFmtId="0" fontId="5" fillId="0" borderId="0" xfId="0" applyFont="1"/>
    <xf numFmtId="0" fontId="4" fillId="0" borderId="0" xfId="0" applyFont="1"/>
    <xf numFmtId="49" fontId="4" fillId="0" borderId="0" xfId="0" applyNumberFormat="1" applyFont="1"/>
    <xf numFmtId="0" fontId="7" fillId="0" borderId="2" xfId="0" applyFont="1" applyBorder="1"/>
    <xf numFmtId="0" fontId="7" fillId="0" borderId="3" xfId="0" applyFont="1" applyBorder="1"/>
    <xf numFmtId="0" fontId="7" fillId="0" borderId="4" xfId="0" applyFont="1" applyBorder="1"/>
    <xf numFmtId="0" fontId="0" fillId="0" borderId="5" xfId="0" applyFont="1" applyBorder="1"/>
    <xf numFmtId="0" fontId="0" fillId="0" borderId="0" xfId="0" applyFont="1" applyBorder="1"/>
    <xf numFmtId="0" fontId="0" fillId="0" borderId="6" xfId="0" applyFont="1" applyBorder="1"/>
    <xf numFmtId="0" fontId="0" fillId="0" borderId="7" xfId="0" applyFont="1" applyBorder="1"/>
    <xf numFmtId="0" fontId="0" fillId="0" borderId="8" xfId="0" applyBorder="1"/>
    <xf numFmtId="0" fontId="0" fillId="0" borderId="9" xfId="0"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17" xfId="0" applyFont="1" applyBorder="1"/>
    <xf numFmtId="0" fontId="0" fillId="0" borderId="18" xfId="0" applyFont="1" applyBorder="1"/>
    <xf numFmtId="0" fontId="0" fillId="0" borderId="19" xfId="0" applyFont="1" applyBorder="1"/>
    <xf numFmtId="0" fontId="0" fillId="3" borderId="6" xfId="0" applyFont="1" applyFill="1" applyBorder="1"/>
    <xf numFmtId="0" fontId="12" fillId="0" borderId="0" xfId="0" applyFont="1"/>
    <xf numFmtId="0" fontId="0" fillId="0" borderId="0" xfId="0" applyAlignment="1">
      <alignment horizontal="center"/>
    </xf>
    <xf numFmtId="0" fontId="3" fillId="0" borderId="20" xfId="1" applyFont="1" applyBorder="1" applyAlignment="1" applyProtection="1">
      <alignment wrapText="1"/>
    </xf>
    <xf numFmtId="0" fontId="3" fillId="0" borderId="21" xfId="1" applyFont="1" applyBorder="1" applyAlignment="1" applyProtection="1">
      <alignment wrapText="1"/>
    </xf>
    <xf numFmtId="0" fontId="3" fillId="0" borderId="22" xfId="1" applyFont="1" applyBorder="1" applyAlignment="1" applyProtection="1">
      <alignment wrapText="1"/>
    </xf>
    <xf numFmtId="0" fontId="0" fillId="0" borderId="23" xfId="0" applyFont="1" applyBorder="1"/>
    <xf numFmtId="0" fontId="0" fillId="0" borderId="24" xfId="0" applyBorder="1"/>
    <xf numFmtId="0" fontId="0" fillId="0" borderId="25" xfId="0" applyBorder="1"/>
    <xf numFmtId="0" fontId="0" fillId="0" borderId="27" xfId="0" applyFont="1" applyBorder="1"/>
    <xf numFmtId="0" fontId="0" fillId="0" borderId="28" xfId="0" applyFont="1" applyBorder="1"/>
    <xf numFmtId="0" fontId="0" fillId="0" borderId="29" xfId="0" applyFont="1" applyBorder="1"/>
    <xf numFmtId="0" fontId="0" fillId="0" borderId="30" xfId="0" applyFont="1" applyBorder="1"/>
    <xf numFmtId="0" fontId="0" fillId="0" borderId="30" xfId="0" applyFont="1" applyBorder="1" applyAlignment="1">
      <alignment wrapText="1"/>
    </xf>
    <xf numFmtId="0" fontId="0" fillId="0" borderId="31" xfId="0" applyBorder="1"/>
    <xf numFmtId="0" fontId="0" fillId="0" borderId="32" xfId="0" applyBorder="1"/>
    <xf numFmtId="0" fontId="0" fillId="0" borderId="33" xfId="0" applyFont="1" applyBorder="1"/>
    <xf numFmtId="0" fontId="0" fillId="0" borderId="34" xfId="0" applyBorder="1"/>
    <xf numFmtId="0" fontId="0" fillId="0" borderId="35" xfId="0" applyFont="1" applyBorder="1"/>
    <xf numFmtId="0" fontId="0" fillId="0" borderId="35" xfId="0" applyFont="1" applyBorder="1" applyAlignment="1">
      <alignment wrapText="1"/>
    </xf>
    <xf numFmtId="0" fontId="15" fillId="0" borderId="0" xfId="0" applyFont="1"/>
    <xf numFmtId="0" fontId="5" fillId="0" borderId="6" xfId="0" applyFont="1" applyBorder="1"/>
    <xf numFmtId="0" fontId="15" fillId="0" borderId="0" xfId="0" applyFont="1" applyAlignment="1">
      <alignment horizontal="left"/>
    </xf>
    <xf numFmtId="0" fontId="14" fillId="0" borderId="0" xfId="0" applyFont="1"/>
    <xf numFmtId="49" fontId="14" fillId="0" borderId="0" xfId="0" applyNumberFormat="1" applyFont="1"/>
    <xf numFmtId="0" fontId="16" fillId="0" borderId="0" xfId="2"/>
    <xf numFmtId="0" fontId="16" fillId="0" borderId="28" xfId="2" applyFill="1" applyBorder="1" applyAlignment="1">
      <alignment horizontal="left" vertical="top"/>
    </xf>
    <xf numFmtId="0" fontId="16" fillId="0" borderId="36" xfId="2" applyFill="1" applyBorder="1"/>
    <xf numFmtId="16" fontId="16" fillId="0" borderId="37" xfId="2" applyNumberFormat="1" applyBorder="1" applyAlignment="1">
      <alignment horizontal="left"/>
    </xf>
    <xf numFmtId="49" fontId="16" fillId="0" borderId="38" xfId="2" applyNumberFormat="1" applyFill="1" applyBorder="1"/>
    <xf numFmtId="0" fontId="16" fillId="0" borderId="30" xfId="2" applyFill="1" applyBorder="1" applyAlignment="1">
      <alignment horizontal="left" vertical="top"/>
    </xf>
    <xf numFmtId="16" fontId="16" fillId="0" borderId="36" xfId="2" applyNumberFormat="1" applyBorder="1" applyAlignment="1">
      <alignment horizontal="left"/>
    </xf>
    <xf numFmtId="0" fontId="16" fillId="0" borderId="28" xfId="2" applyBorder="1" applyAlignment="1">
      <alignment horizontal="left" vertical="top"/>
    </xf>
    <xf numFmtId="0" fontId="16" fillId="0" borderId="36" xfId="2" applyBorder="1"/>
    <xf numFmtId="49" fontId="16" fillId="0" borderId="38" xfId="2" applyNumberFormat="1" applyBorder="1"/>
    <xf numFmtId="0" fontId="16" fillId="0" borderId="30" xfId="2" applyBorder="1"/>
    <xf numFmtId="0" fontId="16" fillId="0" borderId="37" xfId="2" applyBorder="1" applyAlignment="1">
      <alignment horizontal="left" vertical="top" wrapText="1"/>
    </xf>
    <xf numFmtId="164" fontId="16" fillId="0" borderId="37" xfId="2" applyNumberFormat="1" applyBorder="1" applyAlignment="1">
      <alignment horizontal="left" vertical="top"/>
    </xf>
    <xf numFmtId="0" fontId="16" fillId="0" borderId="39" xfId="2" applyBorder="1" applyAlignment="1">
      <alignment horizontal="left" vertical="top"/>
    </xf>
    <xf numFmtId="0" fontId="13" fillId="9" borderId="35" xfId="2" applyFont="1" applyFill="1" applyBorder="1" applyAlignment="1">
      <alignment horizontal="left" vertical="top"/>
    </xf>
    <xf numFmtId="0" fontId="13" fillId="9" borderId="34" xfId="2" applyFont="1" applyFill="1" applyBorder="1" applyAlignment="1">
      <alignment horizontal="left" vertical="top"/>
    </xf>
    <xf numFmtId="164" fontId="13" fillId="9" borderId="34" xfId="2" applyNumberFormat="1" applyFont="1" applyFill="1" applyBorder="1" applyAlignment="1">
      <alignment horizontal="left" vertical="top"/>
    </xf>
    <xf numFmtId="0" fontId="13" fillId="9" borderId="33" xfId="2" applyFont="1" applyFill="1" applyBorder="1" applyAlignment="1">
      <alignment horizontal="left" vertical="top"/>
    </xf>
    <xf numFmtId="0" fontId="16" fillId="0" borderId="28" xfId="2" applyBorder="1" applyAlignment="1">
      <alignment horizontal="left" vertical="top" wrapText="1"/>
    </xf>
    <xf numFmtId="0" fontId="5" fillId="2" borderId="0" xfId="0" applyFont="1" applyFill="1"/>
    <xf numFmtId="0" fontId="17" fillId="10" borderId="0" xfId="2" applyFont="1" applyFill="1" applyAlignment="1">
      <alignment horizontal="left" vertical="top"/>
    </xf>
    <xf numFmtId="0" fontId="16" fillId="0" borderId="0" xfId="2" applyAlignment="1">
      <alignment horizontal="left" vertical="top"/>
    </xf>
    <xf numFmtId="0" fontId="7" fillId="0" borderId="10" xfId="0" applyFont="1" applyBorder="1" applyAlignment="1">
      <alignment horizontal="center"/>
    </xf>
    <xf numFmtId="0" fontId="0" fillId="0" borderId="26" xfId="0" applyFont="1" applyBorder="1" applyAlignment="1">
      <alignment horizontal="center"/>
    </xf>
  </cellXfs>
  <cellStyles count="3">
    <cellStyle name="Excel Built-in Heading 3" xfId="1"/>
    <cellStyle name="Normal" xfId="0" builtinId="0"/>
    <cellStyle name="Normal 2" xfId="2"/>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1DA"/>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B0F0"/>
      <rgbColor rgb="FFCCFFFF"/>
      <rgbColor rgb="FFCCFFCC"/>
      <rgbColor rgb="FFFFFF99"/>
      <rgbColor rgb="FF95B3D7"/>
      <rgbColor rgb="FFE6B9B8"/>
      <rgbColor rgb="FFCC99FF"/>
      <rgbColor rgb="FFFCD5B5"/>
      <rgbColor rgb="FF3366FF"/>
      <rgbColor rgb="FF33CCCC"/>
      <rgbColor rgb="FF92D050"/>
      <rgbColor rgb="FFFFC000"/>
      <rgbColor rgb="FFFF9900"/>
      <rgbColor rgb="FFFF6600"/>
      <rgbColor rgb="FF666699"/>
      <rgbColor rgb="FFA6A6A6"/>
      <rgbColor rgb="FF003366"/>
      <rgbColor rgb="FF339966"/>
      <rgbColor rgb="FF003300"/>
      <rgbColor rgb="FF404040"/>
      <rgbColor rgb="FF993300"/>
      <rgbColor rgb="FF993366"/>
      <rgbColor rgb="FF1F497D"/>
      <rgbColor rgb="FF26262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608760</xdr:colOff>
      <xdr:row>1</xdr:row>
      <xdr:rowOff>190080</xdr:rowOff>
    </xdr:to>
    <xdr:pic>
      <xdr:nvPicPr>
        <xdr:cNvPr id="2" name="Picture 1"/>
        <xdr:cNvPicPr/>
      </xdr:nvPicPr>
      <xdr:blipFill>
        <a:blip xmlns:r="http://schemas.openxmlformats.org/officeDocument/2006/relationships" r:embed="rId1"/>
        <a:stretch/>
      </xdr:blipFill>
      <xdr:spPr>
        <a:xfrm>
          <a:off x="83160" y="183960"/>
          <a:ext cx="608760" cy="190080"/>
        </a:xfrm>
        <a:prstGeom prst="rect">
          <a:avLst/>
        </a:prstGeom>
        <a:ln>
          <a:noFill/>
        </a:ln>
      </xdr:spPr>
    </xdr:pic>
    <xdr:clientData/>
  </xdr:twoCellAnchor>
  <xdr:twoCellAnchor editAs="oneCell">
    <xdr:from>
      <xdr:col>1</xdr:col>
      <xdr:colOff>0</xdr:colOff>
      <xdr:row>1</xdr:row>
      <xdr:rowOff>6480</xdr:rowOff>
    </xdr:from>
    <xdr:to>
      <xdr:col>1</xdr:col>
      <xdr:colOff>4257000</xdr:colOff>
      <xdr:row>2</xdr:row>
      <xdr:rowOff>123120</xdr:rowOff>
    </xdr:to>
    <xdr:pic>
      <xdr:nvPicPr>
        <xdr:cNvPr id="3" name="Picture 4"/>
        <xdr:cNvPicPr/>
      </xdr:nvPicPr>
      <xdr:blipFill>
        <a:blip xmlns:r="http://schemas.openxmlformats.org/officeDocument/2006/relationships" r:embed="rId2"/>
        <a:stretch/>
      </xdr:blipFill>
      <xdr:spPr>
        <a:xfrm>
          <a:off x="83160" y="190440"/>
          <a:ext cx="4257000" cy="5929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1225550</xdr:colOff>
      <xdr:row>34</xdr:row>
      <xdr:rowOff>31750</xdr:rowOff>
    </xdr:to>
    <xdr:sp macro="" textlink="">
      <xdr:nvSpPr>
        <xdr:cNvPr id="2050" name="_x0000_t202" hidden="1"/>
        <xdr:cNvSpPr txBox="1">
          <a:spLocks noSelect="1" noChangeArrowheads="1"/>
        </xdr:cNvSpPr>
      </xdr:nvSpPr>
      <xdr:spPr bwMode="auto">
        <a:xfrm>
          <a:off x="0" y="0"/>
          <a:ext cx="6350000" cy="635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xdr:col>
      <xdr:colOff>1225550</xdr:colOff>
      <xdr:row>34</xdr:row>
      <xdr:rowOff>31750</xdr:rowOff>
    </xdr:to>
    <xdr:sp macro="" textlink="">
      <xdr:nvSpPr>
        <xdr:cNvPr id="2" name="AutoShape 2"/>
        <xdr:cNvSpPr>
          <a:spLocks noChangeArrowheads="1"/>
        </xdr:cNvSpPr>
      </xdr:nvSpPr>
      <xdr:spPr bwMode="auto">
        <a:xfrm>
          <a:off x="0" y="0"/>
          <a:ext cx="6350000" cy="6350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3</xdr:col>
      <xdr:colOff>104775</xdr:colOff>
      <xdr:row>33</xdr:row>
      <xdr:rowOff>9525</xdr:rowOff>
    </xdr:to>
    <xdr:sp macro="" textlink="">
      <xdr:nvSpPr>
        <xdr:cNvPr id="3" name="AutoShape 2"/>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3</xdr:col>
      <xdr:colOff>104775</xdr:colOff>
      <xdr:row>33</xdr:row>
      <xdr:rowOff>9525</xdr:rowOff>
    </xdr:to>
    <xdr:sp macro="" textlink="">
      <xdr:nvSpPr>
        <xdr:cNvPr id="4" name="AutoShape 2"/>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C5" sqref="C5"/>
    </sheetView>
  </sheetViews>
  <sheetFormatPr defaultColWidth="8.7109375" defaultRowHeight="12.75" x14ac:dyDescent="0.2"/>
  <cols>
    <col min="1" max="1" width="8.7109375" style="98"/>
    <col min="2" max="2" width="18.5703125" style="98" customWidth="1"/>
    <col min="3" max="3" width="68.28515625" style="98" customWidth="1"/>
    <col min="4" max="4" width="37.42578125" style="98" customWidth="1"/>
    <col min="5" max="5" width="30.42578125" style="98" customWidth="1"/>
    <col min="6" max="16384" width="8.7109375" style="98"/>
  </cols>
  <sheetData>
    <row r="1" spans="1:5" ht="18.75" x14ac:dyDescent="0.2">
      <c r="A1" s="118" t="s">
        <v>1380</v>
      </c>
      <c r="B1" s="118"/>
      <c r="C1" s="118"/>
      <c r="D1" s="118"/>
      <c r="E1" s="118"/>
    </row>
    <row r="2" spans="1:5" x14ac:dyDescent="0.2">
      <c r="A2" s="119"/>
      <c r="B2" s="119"/>
      <c r="C2" s="119"/>
      <c r="D2" s="119"/>
      <c r="E2" s="119"/>
    </row>
    <row r="3" spans="1:5" ht="13.5" thickBot="1" x14ac:dyDescent="0.25"/>
    <row r="4" spans="1:5" ht="15.75" thickBot="1" x14ac:dyDescent="0.25">
      <c r="A4" s="115" t="s">
        <v>1379</v>
      </c>
      <c r="B4" s="114" t="s">
        <v>1378</v>
      </c>
      <c r="C4" s="113" t="s">
        <v>1377</v>
      </c>
      <c r="D4" s="112" t="s">
        <v>1376</v>
      </c>
    </row>
    <row r="5" spans="1:5" ht="74.099999999999994" customHeight="1" x14ac:dyDescent="0.2">
      <c r="A5" s="111">
        <v>1.01</v>
      </c>
      <c r="B5" s="110">
        <v>43776</v>
      </c>
      <c r="C5" s="109" t="s">
        <v>1381</v>
      </c>
      <c r="D5" s="116" t="s">
        <v>1382</v>
      </c>
    </row>
    <row r="6" spans="1:5" x14ac:dyDescent="0.2">
      <c r="A6" s="111"/>
      <c r="B6" s="110"/>
      <c r="C6" s="109"/>
      <c r="D6" s="105"/>
    </row>
    <row r="7" spans="1:5" x14ac:dyDescent="0.2">
      <c r="A7" s="111"/>
      <c r="B7" s="110"/>
      <c r="C7" s="109"/>
      <c r="D7" s="105"/>
    </row>
    <row r="8" spans="1:5" x14ac:dyDescent="0.2">
      <c r="A8" s="111"/>
      <c r="B8" s="110"/>
      <c r="C8" s="109"/>
      <c r="D8" s="105"/>
    </row>
    <row r="9" spans="1:5" x14ac:dyDescent="0.2">
      <c r="A9" s="107"/>
      <c r="B9" s="104"/>
      <c r="C9" s="106"/>
      <c r="D9" s="108"/>
    </row>
    <row r="10" spans="1:5" x14ac:dyDescent="0.2">
      <c r="A10" s="107"/>
      <c r="B10" s="104"/>
      <c r="C10" s="106"/>
      <c r="D10" s="105"/>
    </row>
    <row r="11" spans="1:5" x14ac:dyDescent="0.2">
      <c r="A11" s="107"/>
      <c r="B11" s="104"/>
      <c r="C11" s="106"/>
      <c r="D11" s="105"/>
    </row>
    <row r="12" spans="1:5" x14ac:dyDescent="0.2">
      <c r="A12" s="102"/>
      <c r="B12" s="104"/>
      <c r="C12" s="100"/>
      <c r="D12" s="103"/>
    </row>
    <row r="13" spans="1:5" x14ac:dyDescent="0.2">
      <c r="A13" s="102"/>
      <c r="B13" s="101"/>
      <c r="C13" s="100"/>
      <c r="D13" s="99"/>
    </row>
  </sheetData>
  <mergeCells count="2">
    <mergeCell ref="A1:E1"/>
    <mergeCell ref="A2:E2"/>
  </mergeCells>
  <pageMargins left="0.7" right="0.7" top="0.75" bottom="0.75" header="0.3" footer="0.3"/>
  <pageSetup paperSize="9" orientation="portrait" r:id="rId1"/>
  <headerFooter>
    <oddFooter>&amp;C&amp;1#&amp;"Calibri"&amp;10&amp;K000000Confidential / 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B17"/>
  <sheetViews>
    <sheetView topLeftCell="A10" zoomScale="75" zoomScaleNormal="75" workbookViewId="0">
      <selection activeCell="B21" sqref="B21"/>
    </sheetView>
  </sheetViews>
  <sheetFormatPr defaultRowHeight="15" x14ac:dyDescent="0.25"/>
  <cols>
    <col min="1" max="1" width="1.140625" customWidth="1"/>
    <col min="2" max="2" width="120.5703125" customWidth="1"/>
    <col min="3" max="3" width="1.28515625" customWidth="1"/>
    <col min="4" max="1025" width="8.5703125" customWidth="1"/>
  </cols>
  <sheetData>
    <row r="2" spans="2:2" ht="37.5" customHeight="1" x14ac:dyDescent="0.25"/>
    <row r="4" spans="2:2" ht="18.75" x14ac:dyDescent="0.25">
      <c r="B4" s="1" t="s">
        <v>0</v>
      </c>
    </row>
    <row r="5" spans="2:2" x14ac:dyDescent="0.25">
      <c r="B5" s="2"/>
    </row>
    <row r="6" spans="2:2" ht="150" x14ac:dyDescent="0.25">
      <c r="B6" s="3" t="s">
        <v>1</v>
      </c>
    </row>
    <row r="7" spans="2:2" x14ac:dyDescent="0.25">
      <c r="B7" s="3"/>
    </row>
    <row r="8" spans="2:2" ht="18.75" x14ac:dyDescent="0.25">
      <c r="B8" s="1" t="s">
        <v>2</v>
      </c>
    </row>
    <row r="9" spans="2:2" ht="225" x14ac:dyDescent="0.25">
      <c r="B9" s="4" t="s">
        <v>3</v>
      </c>
    </row>
    <row r="10" spans="2:2" x14ac:dyDescent="0.25">
      <c r="B10" s="4" t="s">
        <v>4</v>
      </c>
    </row>
    <row r="11" spans="2:2" ht="30" x14ac:dyDescent="0.25">
      <c r="B11" s="5" t="s">
        <v>5</v>
      </c>
    </row>
    <row r="12" spans="2:2" ht="30" x14ac:dyDescent="0.25">
      <c r="B12" s="5" t="s">
        <v>6</v>
      </c>
    </row>
    <row r="13" spans="2:2" ht="30" x14ac:dyDescent="0.25">
      <c r="B13" s="6" t="s">
        <v>7</v>
      </c>
    </row>
    <row r="14" spans="2:2" ht="79.5" customHeight="1" x14ac:dyDescent="0.25">
      <c r="B14" s="7" t="s">
        <v>8</v>
      </c>
    </row>
    <row r="15" spans="2:2" ht="30" x14ac:dyDescent="0.25">
      <c r="B15" s="8" t="s">
        <v>9</v>
      </c>
    </row>
    <row r="16" spans="2:2" ht="30" x14ac:dyDescent="0.25">
      <c r="B16" s="9" t="s">
        <v>10</v>
      </c>
    </row>
    <row r="17" spans="2:2" ht="30" x14ac:dyDescent="0.25">
      <c r="B17" s="10" t="s">
        <v>11</v>
      </c>
    </row>
  </sheetData>
  <pageMargins left="0.7" right="1.25" top="0.75" bottom="0.75" header="0.3" footer="0.3"/>
  <pageSetup scale="67" firstPageNumber="0" orientation="portrait" horizontalDpi="300" verticalDpi="300" r:id="rId1"/>
  <headerFooter>
    <oddHeader>&amp;RRTP Message Mapping 2.8 to 2.9</oddHeader>
    <oddFooter>&amp;L© 2019 The Clearing House Payments 
Company, L.L.C. &amp;C&amp;"Calibri"&amp;11&amp;K000000CONFIDENTIAL_x000D_x000D_&amp;1#&amp;"Calibri"&amp;10&amp;K000000Confidential / Internal Use Only</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2"/>
  <sheetViews>
    <sheetView topLeftCell="C1" zoomScale="75" zoomScaleNormal="75" workbookViewId="0">
      <pane ySplit="1" topLeftCell="A2" activePane="bottomLeft" state="frozen"/>
      <selection activeCell="M1" sqref="M1"/>
      <selection pane="bottomLeft" activeCell="O13" sqref="O13"/>
    </sheetView>
  </sheetViews>
  <sheetFormatPr defaultRowHeight="15" x14ac:dyDescent="0.25"/>
  <cols>
    <col min="1" max="1" width="62.7109375" style="4" customWidth="1"/>
    <col min="2" max="2" width="14.5703125" customWidth="1"/>
    <col min="3" max="3" width="17.28515625" customWidth="1"/>
    <col min="4" max="4" width="11.140625" customWidth="1"/>
    <col min="5" max="5" width="10.7109375" customWidth="1"/>
    <col min="6" max="6" width="8.7109375" customWidth="1"/>
    <col min="7" max="7" width="7.140625" customWidth="1"/>
    <col min="8" max="8" width="7.28515625" customWidth="1"/>
    <col min="9" max="9" width="87.5703125" style="4" customWidth="1"/>
    <col min="10" max="10" width="18.42578125" customWidth="1"/>
    <col min="11" max="11" width="17.28515625" customWidth="1"/>
    <col min="12" max="12" width="8.7109375" hidden="1" customWidth="1"/>
    <col min="13" max="13" width="10.140625" customWidth="1"/>
    <col min="14" max="14" width="10.28515625" customWidth="1"/>
    <col min="15" max="15" width="7.28515625" customWidth="1"/>
    <col min="16" max="16" width="7.140625" customWidth="1"/>
    <col min="17" max="17" width="7.85546875" customWidth="1"/>
    <col min="18" max="18" width="16.140625" customWidth="1"/>
    <col min="19" max="19" width="37.7109375" customWidth="1"/>
    <col min="20" max="20" width="143.42578125" customWidth="1"/>
    <col min="21" max="21" width="28.42578125" customWidth="1"/>
    <col min="22" max="1025" width="8.5703125" customWidth="1"/>
  </cols>
  <sheetData>
    <row r="1" spans="1:20" s="4" customFormat="1" ht="30" x14ac:dyDescent="0.25">
      <c r="A1" s="11" t="s">
        <v>12</v>
      </c>
      <c r="B1" s="11" t="s">
        <v>13</v>
      </c>
      <c r="C1" s="11" t="s">
        <v>14</v>
      </c>
      <c r="D1" s="11" t="s">
        <v>15</v>
      </c>
      <c r="E1" s="11" t="s">
        <v>16</v>
      </c>
      <c r="F1" s="11">
        <v>8</v>
      </c>
      <c r="G1" s="11" t="s">
        <v>17</v>
      </c>
      <c r="H1" s="11" t="s">
        <v>18</v>
      </c>
      <c r="I1" s="11" t="s">
        <v>19</v>
      </c>
      <c r="J1" s="11" t="s">
        <v>13</v>
      </c>
      <c r="K1" s="11" t="s">
        <v>14</v>
      </c>
      <c r="L1" s="11" t="s">
        <v>20</v>
      </c>
      <c r="M1" s="11" t="s">
        <v>15</v>
      </c>
      <c r="N1" s="11" t="s">
        <v>16</v>
      </c>
      <c r="O1" s="11" t="s">
        <v>21</v>
      </c>
      <c r="P1" s="11" t="s">
        <v>17</v>
      </c>
      <c r="Q1" s="11" t="s">
        <v>18</v>
      </c>
      <c r="R1" s="11" t="s">
        <v>22</v>
      </c>
      <c r="S1" s="11" t="s">
        <v>23</v>
      </c>
      <c r="T1" s="11" t="s">
        <v>24</v>
      </c>
    </row>
    <row r="2" spans="1:20" x14ac:dyDescent="0.25">
      <c r="A2" s="12" t="s">
        <v>25</v>
      </c>
      <c r="B2" s="13" t="s">
        <v>26</v>
      </c>
      <c r="C2" s="12" t="s">
        <v>27</v>
      </c>
      <c r="D2" s="12">
        <v>35</v>
      </c>
      <c r="E2" s="12"/>
      <c r="F2" s="12"/>
      <c r="G2" s="12">
        <v>1</v>
      </c>
      <c r="H2" s="12">
        <v>1</v>
      </c>
      <c r="I2" s="12" t="s">
        <v>28</v>
      </c>
      <c r="J2" s="13" t="s">
        <v>26</v>
      </c>
      <c r="K2" s="12" t="s">
        <v>27</v>
      </c>
      <c r="L2" s="12"/>
      <c r="M2" s="12">
        <v>35</v>
      </c>
      <c r="N2" s="12"/>
      <c r="O2" s="12"/>
      <c r="P2" s="12">
        <v>1</v>
      </c>
      <c r="Q2" s="12">
        <v>1</v>
      </c>
      <c r="R2" s="12"/>
      <c r="S2" s="12" t="s">
        <v>29</v>
      </c>
      <c r="T2" s="12" t="s">
        <v>29</v>
      </c>
    </row>
    <row r="3" spans="1:20" x14ac:dyDescent="0.25">
      <c r="A3" s="12" t="s">
        <v>30</v>
      </c>
      <c r="B3" s="13" t="s">
        <v>31</v>
      </c>
      <c r="C3" s="12" t="s">
        <v>32</v>
      </c>
      <c r="D3" s="12"/>
      <c r="E3" s="12"/>
      <c r="F3" s="12"/>
      <c r="G3" s="12">
        <v>1</v>
      </c>
      <c r="H3" s="12">
        <v>1</v>
      </c>
      <c r="I3" s="12" t="s">
        <v>33</v>
      </c>
      <c r="J3" s="13" t="s">
        <v>31</v>
      </c>
      <c r="K3" s="12" t="s">
        <v>32</v>
      </c>
      <c r="L3" s="12"/>
      <c r="M3" s="12"/>
      <c r="N3" s="12">
        <v>4</v>
      </c>
      <c r="O3" s="12"/>
      <c r="P3" s="12">
        <v>1</v>
      </c>
      <c r="Q3" s="12">
        <v>1</v>
      </c>
      <c r="R3" s="12"/>
      <c r="S3" s="12" t="s">
        <v>29</v>
      </c>
      <c r="T3" s="12" t="s">
        <v>29</v>
      </c>
    </row>
    <row r="4" spans="1:20" x14ac:dyDescent="0.25">
      <c r="A4" s="12" t="s">
        <v>34</v>
      </c>
      <c r="B4" s="13" t="s">
        <v>35</v>
      </c>
      <c r="C4" s="12" t="s">
        <v>36</v>
      </c>
      <c r="D4" s="12"/>
      <c r="E4" s="12">
        <v>19</v>
      </c>
      <c r="F4" s="12"/>
      <c r="G4" s="12">
        <v>1</v>
      </c>
      <c r="H4" s="12">
        <v>1</v>
      </c>
      <c r="I4" s="12" t="s">
        <v>37</v>
      </c>
      <c r="J4" s="13" t="s">
        <v>35</v>
      </c>
      <c r="K4" s="12" t="s">
        <v>36</v>
      </c>
      <c r="L4" s="12"/>
      <c r="M4" s="12"/>
      <c r="N4" s="12">
        <v>19</v>
      </c>
      <c r="O4" s="12"/>
      <c r="P4" s="12">
        <v>1</v>
      </c>
      <c r="Q4" s="12">
        <v>1</v>
      </c>
      <c r="R4" s="12"/>
      <c r="S4" s="12" t="s">
        <v>29</v>
      </c>
      <c r="T4" s="12" t="s">
        <v>29</v>
      </c>
    </row>
    <row r="5" spans="1:20" x14ac:dyDescent="0.25">
      <c r="A5" s="12" t="s">
        <v>38</v>
      </c>
      <c r="B5" s="13" t="s">
        <v>39</v>
      </c>
      <c r="C5" s="12" t="s">
        <v>40</v>
      </c>
      <c r="D5" s="12">
        <v>3</v>
      </c>
      <c r="E5" s="12"/>
      <c r="F5" s="12"/>
      <c r="G5" s="12">
        <v>1</v>
      </c>
      <c r="H5" s="12">
        <v>1</v>
      </c>
      <c r="I5" s="12" t="s">
        <v>41</v>
      </c>
      <c r="J5" s="13" t="s">
        <v>42</v>
      </c>
      <c r="K5" s="12" t="s">
        <v>40</v>
      </c>
      <c r="L5" s="12"/>
      <c r="M5" s="12">
        <v>3</v>
      </c>
      <c r="N5" s="12"/>
      <c r="O5" s="12"/>
      <c r="P5" s="12">
        <v>1</v>
      </c>
      <c r="Q5" s="12">
        <v>1</v>
      </c>
      <c r="R5" s="12"/>
      <c r="S5" s="12" t="s">
        <v>43</v>
      </c>
      <c r="T5" s="12" t="s">
        <v>29</v>
      </c>
    </row>
    <row r="6" spans="1:20" x14ac:dyDescent="0.25">
      <c r="A6" s="12" t="s">
        <v>44</v>
      </c>
      <c r="B6" s="13" t="s">
        <v>45</v>
      </c>
      <c r="C6" s="12" t="s">
        <v>46</v>
      </c>
      <c r="D6" s="12"/>
      <c r="E6" s="12">
        <v>1</v>
      </c>
      <c r="F6" s="12"/>
      <c r="G6" s="12">
        <v>1</v>
      </c>
      <c r="H6" s="12">
        <v>1</v>
      </c>
      <c r="I6" s="12" t="s">
        <v>47</v>
      </c>
      <c r="J6" s="13" t="s">
        <v>45</v>
      </c>
      <c r="K6" s="12" t="s">
        <v>46</v>
      </c>
      <c r="L6" s="12"/>
      <c r="M6" s="12"/>
      <c r="N6" s="12">
        <v>1</v>
      </c>
      <c r="O6" s="12"/>
      <c r="P6" s="12">
        <v>1</v>
      </c>
      <c r="Q6" s="12">
        <v>1</v>
      </c>
      <c r="R6" s="12"/>
      <c r="S6" s="12" t="s">
        <v>29</v>
      </c>
      <c r="T6" s="12" t="s">
        <v>29</v>
      </c>
    </row>
    <row r="7" spans="1:20" x14ac:dyDescent="0.25">
      <c r="A7" s="12" t="s">
        <v>48</v>
      </c>
      <c r="B7" s="13" t="s">
        <v>49</v>
      </c>
      <c r="C7" s="12" t="s">
        <v>50</v>
      </c>
      <c r="D7" s="12"/>
      <c r="E7" s="12"/>
      <c r="F7" s="12">
        <v>18</v>
      </c>
      <c r="G7" s="12">
        <v>1</v>
      </c>
      <c r="H7" s="12">
        <v>1</v>
      </c>
      <c r="I7" s="12" t="s">
        <v>51</v>
      </c>
      <c r="J7" s="13" t="s">
        <v>49</v>
      </c>
      <c r="K7" s="12" t="s">
        <v>50</v>
      </c>
      <c r="L7" s="12"/>
      <c r="M7" s="12"/>
      <c r="N7" s="12"/>
      <c r="O7" s="12">
        <v>18</v>
      </c>
      <c r="P7" s="12">
        <v>1</v>
      </c>
      <c r="Q7" s="12">
        <v>1</v>
      </c>
      <c r="R7" s="12"/>
      <c r="S7" s="12" t="s">
        <v>29</v>
      </c>
      <c r="T7" s="12" t="s">
        <v>29</v>
      </c>
    </row>
    <row r="8" spans="1:20" x14ac:dyDescent="0.25">
      <c r="A8" s="12" t="s">
        <v>52</v>
      </c>
      <c r="B8" s="13" t="s">
        <v>53</v>
      </c>
      <c r="C8" s="12" t="s">
        <v>54</v>
      </c>
      <c r="D8" s="12"/>
      <c r="E8" s="12"/>
      <c r="F8" s="12"/>
      <c r="G8" s="12"/>
      <c r="H8" s="12"/>
      <c r="I8" s="12" t="s">
        <v>55</v>
      </c>
      <c r="J8" s="13" t="s">
        <v>53</v>
      </c>
      <c r="K8" s="12" t="s">
        <v>54</v>
      </c>
      <c r="L8" s="12"/>
      <c r="M8" s="12"/>
      <c r="N8" s="12">
        <v>3</v>
      </c>
      <c r="O8" s="12"/>
      <c r="P8" s="12"/>
      <c r="Q8" s="12"/>
      <c r="R8" s="12"/>
      <c r="S8" s="12" t="s">
        <v>29</v>
      </c>
      <c r="T8" s="12" t="s">
        <v>29</v>
      </c>
    </row>
    <row r="9" spans="1:20" x14ac:dyDescent="0.25">
      <c r="A9" s="12" t="s">
        <v>56</v>
      </c>
      <c r="B9" s="13" t="s">
        <v>57</v>
      </c>
      <c r="C9" s="12" t="s">
        <v>58</v>
      </c>
      <c r="D9" s="12"/>
      <c r="E9" s="12">
        <v>10</v>
      </c>
      <c r="F9" s="12"/>
      <c r="G9" s="12">
        <v>1</v>
      </c>
      <c r="H9" s="12">
        <v>1</v>
      </c>
      <c r="I9" s="12" t="s">
        <v>59</v>
      </c>
      <c r="J9" s="13" t="s">
        <v>57</v>
      </c>
      <c r="K9" s="12" t="s">
        <v>58</v>
      </c>
      <c r="L9" s="12"/>
      <c r="M9" s="12"/>
      <c r="N9" s="12">
        <v>10</v>
      </c>
      <c r="O9" s="12"/>
      <c r="P9" s="12">
        <v>1</v>
      </c>
      <c r="Q9" s="12">
        <v>1</v>
      </c>
      <c r="R9" s="12"/>
      <c r="S9" s="12" t="s">
        <v>60</v>
      </c>
      <c r="T9" s="12" t="s">
        <v>61</v>
      </c>
    </row>
    <row r="10" spans="1:20" x14ac:dyDescent="0.25">
      <c r="A10" s="12" t="s">
        <v>62</v>
      </c>
      <c r="B10" s="13" t="s">
        <v>63</v>
      </c>
      <c r="C10" s="12" t="s">
        <v>64</v>
      </c>
      <c r="D10" s="12">
        <v>35</v>
      </c>
      <c r="E10" s="12"/>
      <c r="F10" s="12"/>
      <c r="G10" s="12">
        <v>1</v>
      </c>
      <c r="H10" s="12">
        <v>1</v>
      </c>
      <c r="I10" s="12" t="s">
        <v>65</v>
      </c>
      <c r="J10" s="13" t="s">
        <v>63</v>
      </c>
      <c r="K10" s="12" t="s">
        <v>64</v>
      </c>
      <c r="L10" s="12"/>
      <c r="M10" s="12">
        <v>35</v>
      </c>
      <c r="N10" s="12"/>
      <c r="O10" s="12"/>
      <c r="P10" s="12">
        <v>1</v>
      </c>
      <c r="Q10" s="12">
        <v>1</v>
      </c>
      <c r="R10" s="12"/>
      <c r="S10" s="12" t="s">
        <v>29</v>
      </c>
      <c r="T10" s="12" t="s">
        <v>29</v>
      </c>
    </row>
    <row r="11" spans="1:20" x14ac:dyDescent="0.25">
      <c r="A11" s="12" t="s">
        <v>66</v>
      </c>
      <c r="B11" s="13" t="s">
        <v>67</v>
      </c>
      <c r="C11" s="12" t="s">
        <v>68</v>
      </c>
      <c r="D11" s="12">
        <v>35</v>
      </c>
      <c r="E11" s="12"/>
      <c r="F11" s="12"/>
      <c r="G11" s="12">
        <v>1</v>
      </c>
      <c r="H11" s="12">
        <v>1</v>
      </c>
      <c r="I11" s="12" t="s">
        <v>69</v>
      </c>
      <c r="J11" s="13" t="s">
        <v>67</v>
      </c>
      <c r="K11" s="12" t="s">
        <v>68</v>
      </c>
      <c r="L11" s="12"/>
      <c r="M11" s="12">
        <v>35</v>
      </c>
      <c r="N11" s="12"/>
      <c r="O11" s="12"/>
      <c r="P11" s="12">
        <v>1</v>
      </c>
      <c r="Q11" s="12">
        <v>1</v>
      </c>
      <c r="R11" s="12"/>
      <c r="S11" s="12" t="s">
        <v>29</v>
      </c>
      <c r="T11" s="12" t="s">
        <v>29</v>
      </c>
    </row>
    <row r="12" spans="1:20" x14ac:dyDescent="0.25">
      <c r="A12" s="12" t="s">
        <v>70</v>
      </c>
      <c r="B12" s="13" t="s">
        <v>71</v>
      </c>
      <c r="C12" s="12" t="s">
        <v>72</v>
      </c>
      <c r="D12" s="12">
        <v>35</v>
      </c>
      <c r="E12" s="12"/>
      <c r="F12" s="12"/>
      <c r="G12" s="12">
        <v>1</v>
      </c>
      <c r="H12" s="12">
        <v>1</v>
      </c>
      <c r="I12" s="12" t="s">
        <v>73</v>
      </c>
      <c r="J12" s="13" t="s">
        <v>71</v>
      </c>
      <c r="K12" s="12" t="s">
        <v>72</v>
      </c>
      <c r="L12" s="12"/>
      <c r="M12" s="12">
        <v>35</v>
      </c>
      <c r="N12" s="12"/>
      <c r="O12" s="12"/>
      <c r="P12" s="12">
        <v>1</v>
      </c>
      <c r="Q12" s="12">
        <v>1</v>
      </c>
      <c r="R12" s="12"/>
      <c r="S12" s="12" t="s">
        <v>29</v>
      </c>
      <c r="T12" s="12" t="s">
        <v>29</v>
      </c>
    </row>
    <row r="13" spans="1:20" x14ac:dyDescent="0.25">
      <c r="A13" s="12" t="s">
        <v>74</v>
      </c>
      <c r="B13" s="13" t="s">
        <v>75</v>
      </c>
      <c r="C13" s="12" t="s">
        <v>76</v>
      </c>
      <c r="D13" s="12">
        <v>35</v>
      </c>
      <c r="E13" s="12"/>
      <c r="F13" s="12"/>
      <c r="G13" s="96">
        <v>0</v>
      </c>
      <c r="H13" s="96">
        <v>1</v>
      </c>
      <c r="I13" s="96" t="s">
        <v>77</v>
      </c>
      <c r="J13" s="97" t="s">
        <v>78</v>
      </c>
      <c r="K13" s="52" t="s">
        <v>76</v>
      </c>
      <c r="L13" s="12"/>
      <c r="M13" s="12">
        <v>35</v>
      </c>
      <c r="N13" s="12"/>
      <c r="O13" s="12"/>
      <c r="P13" s="12">
        <v>0</v>
      </c>
      <c r="Q13" s="12">
        <v>1</v>
      </c>
      <c r="R13" s="12"/>
      <c r="S13" s="52" t="s">
        <v>61</v>
      </c>
      <c r="T13" s="52" t="s">
        <v>61</v>
      </c>
    </row>
    <row r="14" spans="1:20" x14ac:dyDescent="0.25">
      <c r="A14" s="12" t="s">
        <v>79</v>
      </c>
      <c r="B14" s="13" t="s">
        <v>80</v>
      </c>
      <c r="C14" s="12" t="s">
        <v>40</v>
      </c>
      <c r="D14" s="12">
        <v>4</v>
      </c>
      <c r="E14" s="12"/>
      <c r="F14" s="12"/>
      <c r="G14" s="12">
        <v>1</v>
      </c>
      <c r="H14" s="12">
        <v>1</v>
      </c>
      <c r="I14" s="12" t="s">
        <v>81</v>
      </c>
      <c r="J14" s="13" t="s">
        <v>82</v>
      </c>
      <c r="K14" s="12" t="s">
        <v>40</v>
      </c>
      <c r="L14" s="12"/>
      <c r="M14" s="12">
        <v>4</v>
      </c>
      <c r="N14" s="12"/>
      <c r="O14" s="12"/>
      <c r="P14" s="12">
        <v>1</v>
      </c>
      <c r="Q14" s="12">
        <v>1</v>
      </c>
      <c r="R14" s="12"/>
      <c r="S14" s="12" t="s">
        <v>29</v>
      </c>
      <c r="T14" s="12" t="s">
        <v>29</v>
      </c>
    </row>
    <row r="15" spans="1:20" x14ac:dyDescent="0.25">
      <c r="A15" s="12" t="s">
        <v>83</v>
      </c>
      <c r="B15" s="13" t="s">
        <v>84</v>
      </c>
      <c r="C15" s="12" t="s">
        <v>85</v>
      </c>
      <c r="D15" s="12">
        <v>35</v>
      </c>
      <c r="E15" s="12"/>
      <c r="F15" s="12"/>
      <c r="G15" s="12">
        <v>1</v>
      </c>
      <c r="H15" s="12">
        <v>1</v>
      </c>
      <c r="I15" s="12" t="s">
        <v>86</v>
      </c>
      <c r="J15" s="13" t="s">
        <v>87</v>
      </c>
      <c r="K15" s="12" t="s">
        <v>85</v>
      </c>
      <c r="L15" s="12"/>
      <c r="M15" s="12">
        <v>35</v>
      </c>
      <c r="N15" s="12"/>
      <c r="O15" s="12"/>
      <c r="P15" s="12">
        <v>1</v>
      </c>
      <c r="Q15" s="12">
        <v>1</v>
      </c>
      <c r="R15" s="12"/>
      <c r="S15" s="12" t="s">
        <v>88</v>
      </c>
      <c r="T15" s="12" t="s">
        <v>88</v>
      </c>
    </row>
    <row r="16" spans="1:20" x14ac:dyDescent="0.25">
      <c r="A16" s="12"/>
      <c r="B16" s="12"/>
      <c r="C16" s="12"/>
      <c r="D16" s="12"/>
      <c r="E16" s="12"/>
      <c r="F16" s="12"/>
      <c r="G16" s="12"/>
      <c r="H16" s="12"/>
      <c r="I16" s="12" t="s">
        <v>89</v>
      </c>
      <c r="J16" s="13" t="s">
        <v>90</v>
      </c>
      <c r="K16" s="12" t="s">
        <v>85</v>
      </c>
      <c r="L16" s="12"/>
      <c r="M16" s="12">
        <v>35</v>
      </c>
      <c r="N16" s="12"/>
      <c r="O16" s="12"/>
      <c r="P16" s="12">
        <v>1</v>
      </c>
      <c r="Q16" s="12">
        <v>1</v>
      </c>
      <c r="R16" s="12" t="s">
        <v>91</v>
      </c>
      <c r="S16" s="12" t="s">
        <v>88</v>
      </c>
      <c r="T16" s="12" t="s">
        <v>88</v>
      </c>
    </row>
    <row r="17" spans="1:20" x14ac:dyDescent="0.25">
      <c r="A17" s="12" t="s">
        <v>92</v>
      </c>
      <c r="B17" s="13" t="s">
        <v>90</v>
      </c>
      <c r="C17" s="12" t="s">
        <v>93</v>
      </c>
      <c r="D17" s="12"/>
      <c r="E17" s="12"/>
      <c r="F17" s="12">
        <v>18</v>
      </c>
      <c r="G17" s="12">
        <v>1</v>
      </c>
      <c r="H17" s="12">
        <v>1</v>
      </c>
      <c r="I17" s="12" t="s">
        <v>94</v>
      </c>
      <c r="J17" s="13" t="s">
        <v>95</v>
      </c>
      <c r="K17" s="12" t="s">
        <v>93</v>
      </c>
      <c r="L17" s="12"/>
      <c r="M17" s="12"/>
      <c r="N17" s="12"/>
      <c r="O17" s="12">
        <v>18</v>
      </c>
      <c r="P17" s="12">
        <v>1</v>
      </c>
      <c r="Q17" s="12">
        <v>1</v>
      </c>
      <c r="R17" s="12"/>
      <c r="S17" s="12" t="s">
        <v>29</v>
      </c>
      <c r="T17" s="12" t="s">
        <v>29</v>
      </c>
    </row>
    <row r="18" spans="1:20" x14ac:dyDescent="0.25">
      <c r="A18" s="12" t="s">
        <v>96</v>
      </c>
      <c r="B18" s="13" t="s">
        <v>95</v>
      </c>
      <c r="C18" s="12" t="s">
        <v>54</v>
      </c>
      <c r="D18" s="12"/>
      <c r="E18" s="12"/>
      <c r="F18" s="12"/>
      <c r="G18" s="12"/>
      <c r="H18" s="12"/>
      <c r="I18" s="12" t="s">
        <v>97</v>
      </c>
      <c r="J18" s="13" t="s">
        <v>98</v>
      </c>
      <c r="K18" s="12" t="s">
        <v>54</v>
      </c>
      <c r="L18" s="12"/>
      <c r="M18" s="12"/>
      <c r="N18" s="12">
        <v>3</v>
      </c>
      <c r="O18" s="12"/>
      <c r="P18" s="12"/>
      <c r="Q18" s="12"/>
      <c r="R18" s="12"/>
      <c r="S18" s="12" t="s">
        <v>29</v>
      </c>
      <c r="T18" s="12" t="s">
        <v>29</v>
      </c>
    </row>
    <row r="19" spans="1:20" x14ac:dyDescent="0.25">
      <c r="A19" s="12" t="s">
        <v>99</v>
      </c>
      <c r="B19" s="13" t="s">
        <v>100</v>
      </c>
      <c r="C19" s="12" t="s">
        <v>101</v>
      </c>
      <c r="D19" s="12"/>
      <c r="E19" s="12"/>
      <c r="F19" s="12"/>
      <c r="G19" s="12">
        <v>1</v>
      </c>
      <c r="H19" s="12">
        <v>1</v>
      </c>
      <c r="I19" s="12" t="s">
        <v>102</v>
      </c>
      <c r="J19" s="13" t="s">
        <v>103</v>
      </c>
      <c r="K19" s="12" t="s">
        <v>101</v>
      </c>
      <c r="L19" s="12"/>
      <c r="M19" s="12"/>
      <c r="N19" s="12">
        <v>4</v>
      </c>
      <c r="O19" s="12"/>
      <c r="P19" s="12">
        <v>1</v>
      </c>
      <c r="Q19" s="12">
        <v>1</v>
      </c>
      <c r="R19" s="12"/>
      <c r="S19" s="12" t="s">
        <v>29</v>
      </c>
      <c r="T19" s="12" t="s">
        <v>29</v>
      </c>
    </row>
    <row r="20" spans="1:20" s="14" customFormat="1" x14ac:dyDescent="0.25">
      <c r="A20" s="14" t="s">
        <v>104</v>
      </c>
      <c r="B20" s="15" t="s">
        <v>105</v>
      </c>
      <c r="C20" s="14" t="s">
        <v>106</v>
      </c>
      <c r="D20" s="14">
        <v>9</v>
      </c>
      <c r="G20" s="14">
        <v>1</v>
      </c>
      <c r="H20" s="14">
        <v>1</v>
      </c>
      <c r="I20" s="14" t="s">
        <v>107</v>
      </c>
      <c r="J20" s="15" t="s">
        <v>108</v>
      </c>
      <c r="K20" s="14" t="s">
        <v>106</v>
      </c>
      <c r="M20" s="14">
        <v>9</v>
      </c>
      <c r="P20" s="14">
        <v>1</v>
      </c>
      <c r="Q20" s="14">
        <v>1</v>
      </c>
      <c r="S20" s="14" t="s">
        <v>29</v>
      </c>
      <c r="T20" s="14" t="s">
        <v>109</v>
      </c>
    </row>
    <row r="21" spans="1:20" s="14" customFormat="1" x14ac:dyDescent="0.25">
      <c r="A21" s="14" t="s">
        <v>110</v>
      </c>
      <c r="B21" s="15" t="s">
        <v>111</v>
      </c>
      <c r="C21" s="14" t="s">
        <v>106</v>
      </c>
      <c r="D21" s="14">
        <v>9</v>
      </c>
      <c r="G21" s="14">
        <v>1</v>
      </c>
      <c r="H21" s="14">
        <v>1</v>
      </c>
      <c r="I21" s="14" t="s">
        <v>112</v>
      </c>
      <c r="J21" s="15" t="s">
        <v>113</v>
      </c>
      <c r="K21" s="14" t="s">
        <v>106</v>
      </c>
      <c r="M21" s="14">
        <v>9</v>
      </c>
      <c r="P21" s="14">
        <v>1</v>
      </c>
      <c r="Q21" s="14">
        <v>1</v>
      </c>
      <c r="S21" s="14" t="s">
        <v>29</v>
      </c>
      <c r="T21" s="14" t="s">
        <v>114</v>
      </c>
    </row>
    <row r="22" spans="1:20" x14ac:dyDescent="0.25">
      <c r="A22" s="12"/>
      <c r="B22" s="12"/>
      <c r="C22" s="12"/>
      <c r="D22" s="12"/>
      <c r="E22" s="12"/>
      <c r="F22" s="12"/>
      <c r="G22" s="12"/>
      <c r="H22" s="12"/>
      <c r="I22" s="12" t="s">
        <v>115</v>
      </c>
      <c r="J22" s="13" t="s">
        <v>116</v>
      </c>
      <c r="K22" s="12" t="s">
        <v>117</v>
      </c>
      <c r="L22" s="12"/>
      <c r="M22" s="12">
        <v>140</v>
      </c>
      <c r="N22" s="12"/>
      <c r="O22" s="12"/>
      <c r="P22" s="12">
        <v>1</v>
      </c>
      <c r="Q22" s="12">
        <v>1</v>
      </c>
      <c r="R22" s="12" t="s">
        <v>91</v>
      </c>
      <c r="S22" s="12" t="s">
        <v>118</v>
      </c>
      <c r="T22" s="12" t="s">
        <v>119</v>
      </c>
    </row>
    <row r="23" spans="1:20" x14ac:dyDescent="0.25">
      <c r="A23" s="12"/>
      <c r="B23" s="12"/>
      <c r="C23" s="12"/>
      <c r="D23" s="12"/>
      <c r="E23" s="12"/>
      <c r="F23" s="12"/>
      <c r="G23" s="12"/>
      <c r="H23" s="12"/>
      <c r="I23" s="12" t="s">
        <v>120</v>
      </c>
      <c r="J23" s="13" t="s">
        <v>121</v>
      </c>
      <c r="K23" s="12" t="s">
        <v>122</v>
      </c>
      <c r="L23" s="12"/>
      <c r="M23" s="12">
        <v>70</v>
      </c>
      <c r="N23" s="12"/>
      <c r="O23" s="12"/>
      <c r="P23" s="12">
        <v>1</v>
      </c>
      <c r="Q23" s="12">
        <v>1</v>
      </c>
      <c r="R23" s="12" t="s">
        <v>91</v>
      </c>
      <c r="S23" s="12" t="s">
        <v>118</v>
      </c>
      <c r="T23" s="12" t="s">
        <v>123</v>
      </c>
    </row>
    <row r="24" spans="1:20" x14ac:dyDescent="0.25">
      <c r="A24" s="12"/>
      <c r="B24" s="12"/>
      <c r="C24" s="12"/>
      <c r="D24" s="12"/>
      <c r="E24" s="12"/>
      <c r="F24" s="12"/>
      <c r="G24" s="12"/>
      <c r="H24" s="12"/>
      <c r="I24" s="12" t="s">
        <v>124</v>
      </c>
      <c r="J24" s="13" t="s">
        <v>125</v>
      </c>
      <c r="K24" s="12" t="s">
        <v>126</v>
      </c>
      <c r="L24" s="12"/>
      <c r="M24" s="12">
        <v>16</v>
      </c>
      <c r="N24" s="12"/>
      <c r="O24" s="12"/>
      <c r="P24" s="12">
        <v>0</v>
      </c>
      <c r="Q24" s="12">
        <v>1</v>
      </c>
      <c r="R24" s="12" t="s">
        <v>91</v>
      </c>
      <c r="S24" s="12" t="s">
        <v>118</v>
      </c>
      <c r="T24" s="12" t="s">
        <v>123</v>
      </c>
    </row>
    <row r="25" spans="1:20" x14ac:dyDescent="0.25">
      <c r="A25" s="12"/>
      <c r="B25" s="12"/>
      <c r="C25" s="12"/>
      <c r="D25" s="12"/>
      <c r="E25" s="12"/>
      <c r="F25" s="12"/>
      <c r="G25" s="12"/>
      <c r="H25" s="12"/>
      <c r="I25" s="12" t="s">
        <v>127</v>
      </c>
      <c r="J25" s="13" t="s">
        <v>128</v>
      </c>
      <c r="K25" s="12" t="s">
        <v>129</v>
      </c>
      <c r="L25" s="12"/>
      <c r="M25" s="12">
        <v>16</v>
      </c>
      <c r="N25" s="12"/>
      <c r="O25" s="12"/>
      <c r="P25" s="12">
        <v>1</v>
      </c>
      <c r="Q25" s="12">
        <v>1</v>
      </c>
      <c r="R25" s="12" t="s">
        <v>91</v>
      </c>
      <c r="S25" s="12" t="s">
        <v>118</v>
      </c>
      <c r="T25" s="12" t="s">
        <v>123</v>
      </c>
    </row>
    <row r="26" spans="1:20" x14ac:dyDescent="0.25">
      <c r="A26" s="12"/>
      <c r="B26" s="12"/>
      <c r="C26" s="12"/>
      <c r="D26" s="12"/>
      <c r="E26" s="12"/>
      <c r="F26" s="12"/>
      <c r="G26" s="12"/>
      <c r="H26" s="12"/>
      <c r="I26" s="12" t="s">
        <v>130</v>
      </c>
      <c r="J26" s="13" t="s">
        <v>131</v>
      </c>
      <c r="K26" s="12" t="s">
        <v>132</v>
      </c>
      <c r="L26" s="12"/>
      <c r="M26" s="12">
        <v>35</v>
      </c>
      <c r="N26" s="12"/>
      <c r="O26" s="12"/>
      <c r="P26" s="12">
        <v>1</v>
      </c>
      <c r="Q26" s="12">
        <v>1</v>
      </c>
      <c r="R26" s="12" t="s">
        <v>91</v>
      </c>
      <c r="S26" s="12" t="s">
        <v>118</v>
      </c>
      <c r="T26" s="12" t="s">
        <v>123</v>
      </c>
    </row>
    <row r="27" spans="1:20" x14ac:dyDescent="0.25">
      <c r="A27" s="12"/>
      <c r="B27" s="12"/>
      <c r="C27" s="12"/>
      <c r="D27" s="12"/>
      <c r="E27" s="12"/>
      <c r="F27" s="12"/>
      <c r="G27" s="12"/>
      <c r="H27" s="12"/>
      <c r="I27" s="12" t="s">
        <v>133</v>
      </c>
      <c r="J27" s="13" t="s">
        <v>134</v>
      </c>
      <c r="K27" s="12" t="s">
        <v>135</v>
      </c>
      <c r="L27" s="12"/>
      <c r="M27" s="12">
        <v>35</v>
      </c>
      <c r="N27" s="12"/>
      <c r="O27" s="12"/>
      <c r="P27" s="12">
        <v>1</v>
      </c>
      <c r="Q27" s="12">
        <v>1</v>
      </c>
      <c r="R27" s="12" t="s">
        <v>91</v>
      </c>
      <c r="S27" s="12" t="str">
        <f>IF(R27="NEW ELEMENT","N/A", check)</f>
        <v>N/A</v>
      </c>
      <c r="T27" s="12" t="s">
        <v>123</v>
      </c>
    </row>
    <row r="28" spans="1:20" x14ac:dyDescent="0.25">
      <c r="A28" s="12"/>
      <c r="B28" s="12"/>
      <c r="C28" s="12"/>
      <c r="D28" s="12"/>
      <c r="E28" s="12"/>
      <c r="F28" s="12"/>
      <c r="G28" s="12"/>
      <c r="H28" s="12"/>
      <c r="I28" s="12" t="s">
        <v>136</v>
      </c>
      <c r="J28" s="13" t="s">
        <v>137</v>
      </c>
      <c r="K28" s="12" t="s">
        <v>138</v>
      </c>
      <c r="L28" s="12"/>
      <c r="M28" s="12"/>
      <c r="N28" s="12">
        <v>2</v>
      </c>
      <c r="O28" s="12"/>
      <c r="P28" s="12">
        <v>1</v>
      </c>
      <c r="Q28" s="12">
        <v>1</v>
      </c>
      <c r="R28" s="12" t="s">
        <v>91</v>
      </c>
      <c r="S28" s="12" t="str">
        <f>IF(R28="NEW ELEMENT","N/A", check)</f>
        <v>N/A</v>
      </c>
      <c r="T28" s="12" t="s">
        <v>123</v>
      </c>
    </row>
    <row r="29" spans="1:20" x14ac:dyDescent="0.25">
      <c r="A29" s="12"/>
      <c r="B29" s="12"/>
      <c r="C29" s="12"/>
      <c r="D29" s="12"/>
      <c r="E29" s="12"/>
      <c r="F29" s="12"/>
      <c r="G29" s="12"/>
      <c r="H29" s="12"/>
      <c r="I29" s="12" t="s">
        <v>139</v>
      </c>
      <c r="J29" s="13" t="s">
        <v>140</v>
      </c>
      <c r="K29" s="12" t="s">
        <v>141</v>
      </c>
      <c r="L29" s="12"/>
      <c r="M29" s="12">
        <v>70</v>
      </c>
      <c r="N29" s="12"/>
      <c r="O29" s="12"/>
      <c r="P29" s="12">
        <v>0</v>
      </c>
      <c r="Q29" s="12">
        <v>1</v>
      </c>
      <c r="R29" s="12" t="s">
        <v>91</v>
      </c>
      <c r="S29" s="12" t="str">
        <f>IF(R29="NEW ELEMENT","N/A", check)</f>
        <v>N/A</v>
      </c>
      <c r="T29" s="12" t="s">
        <v>123</v>
      </c>
    </row>
    <row r="30" spans="1:20" x14ac:dyDescent="0.25">
      <c r="A30" s="12"/>
      <c r="B30" s="12"/>
      <c r="C30" s="12"/>
      <c r="D30" s="12"/>
      <c r="E30" s="12"/>
      <c r="F30" s="12"/>
      <c r="G30" s="12"/>
      <c r="H30" s="12"/>
      <c r="I30" s="12" t="s">
        <v>142</v>
      </c>
      <c r="J30" s="13" t="s">
        <v>143</v>
      </c>
      <c r="K30" s="12" t="s">
        <v>144</v>
      </c>
      <c r="L30" s="12"/>
      <c r="M30" s="12"/>
      <c r="N30" s="12"/>
      <c r="O30" s="12"/>
      <c r="P30" s="12">
        <v>1</v>
      </c>
      <c r="Q30" s="12">
        <v>1</v>
      </c>
      <c r="R30" s="12" t="s">
        <v>91</v>
      </c>
      <c r="S30" s="12" t="str">
        <f>IF(R30="NEW ELEMENT","N/A", check)</f>
        <v>N/A</v>
      </c>
      <c r="T30" s="12" t="s">
        <v>145</v>
      </c>
    </row>
    <row r="31" spans="1:20" x14ac:dyDescent="0.25">
      <c r="A31" s="12"/>
      <c r="B31" s="12"/>
      <c r="C31" s="12"/>
      <c r="D31" s="12"/>
      <c r="E31" s="12"/>
      <c r="F31" s="12"/>
      <c r="G31" s="12"/>
      <c r="H31" s="12"/>
      <c r="I31" s="12" t="s">
        <v>146</v>
      </c>
      <c r="J31" s="13" t="s">
        <v>147</v>
      </c>
      <c r="K31" s="12" t="s">
        <v>148</v>
      </c>
      <c r="L31" s="12"/>
      <c r="M31" s="12">
        <v>35</v>
      </c>
      <c r="N31" s="12"/>
      <c r="O31" s="12"/>
      <c r="P31" s="12">
        <v>1</v>
      </c>
      <c r="Q31" s="12">
        <v>1</v>
      </c>
      <c r="R31" s="12" t="s">
        <v>91</v>
      </c>
      <c r="S31" s="12" t="str">
        <f>IF(R31="NEW ELEMENT","N/A", check)</f>
        <v>N/A</v>
      </c>
      <c r="T31" s="12" t="s">
        <v>145</v>
      </c>
    </row>
    <row r="32" spans="1:20" x14ac:dyDescent="0.25">
      <c r="A32" s="12"/>
      <c r="B32" s="12"/>
      <c r="C32" s="12"/>
      <c r="D32" s="12"/>
      <c r="E32" s="12"/>
      <c r="F32" s="12"/>
      <c r="G32" s="12"/>
      <c r="H32" s="12"/>
      <c r="I32" s="12" t="s">
        <v>149</v>
      </c>
      <c r="J32" s="13" t="s">
        <v>150</v>
      </c>
      <c r="K32" s="12" t="s">
        <v>117</v>
      </c>
      <c r="L32" s="12"/>
      <c r="M32" s="12">
        <v>140</v>
      </c>
      <c r="N32" s="12"/>
      <c r="O32" s="12"/>
      <c r="P32" s="12">
        <v>0</v>
      </c>
      <c r="Q32" s="12">
        <v>1</v>
      </c>
      <c r="R32" s="12" t="s">
        <v>91</v>
      </c>
      <c r="S32" s="12" t="s">
        <v>118</v>
      </c>
      <c r="T32" s="12" t="s">
        <v>151</v>
      </c>
    </row>
    <row r="33" spans="1:20" x14ac:dyDescent="0.25">
      <c r="A33" s="12" t="s">
        <v>152</v>
      </c>
      <c r="B33" s="13" t="s">
        <v>153</v>
      </c>
      <c r="C33" s="12" t="s">
        <v>117</v>
      </c>
      <c r="D33" s="12">
        <v>140</v>
      </c>
      <c r="E33" s="12"/>
      <c r="F33" s="12"/>
      <c r="G33" s="12">
        <v>1</v>
      </c>
      <c r="H33" s="12">
        <v>1</v>
      </c>
      <c r="I33" s="12" t="s">
        <v>154</v>
      </c>
      <c r="J33" s="13" t="s">
        <v>155</v>
      </c>
      <c r="K33" s="12" t="s">
        <v>117</v>
      </c>
      <c r="L33" s="12"/>
      <c r="M33" s="12">
        <v>140</v>
      </c>
      <c r="N33" s="12"/>
      <c r="O33" s="12"/>
      <c r="P33" s="12">
        <v>1</v>
      </c>
      <c r="Q33" s="12">
        <v>1</v>
      </c>
      <c r="R33" s="12"/>
      <c r="S33" s="12" t="s">
        <v>29</v>
      </c>
      <c r="T33" s="12" t="s">
        <v>156</v>
      </c>
    </row>
    <row r="34" spans="1:20" x14ac:dyDescent="0.25">
      <c r="A34" s="12" t="s">
        <v>157</v>
      </c>
      <c r="B34" s="13" t="s">
        <v>158</v>
      </c>
      <c r="C34" s="12" t="s">
        <v>122</v>
      </c>
      <c r="D34" s="12">
        <v>70</v>
      </c>
      <c r="E34" s="12"/>
      <c r="F34" s="12"/>
      <c r="G34" s="12">
        <v>1</v>
      </c>
      <c r="H34" s="12">
        <v>1</v>
      </c>
      <c r="I34" s="12" t="s">
        <v>159</v>
      </c>
      <c r="J34" s="13" t="s">
        <v>160</v>
      </c>
      <c r="K34" s="12" t="s">
        <v>122</v>
      </c>
      <c r="L34" s="12"/>
      <c r="M34" s="12">
        <v>70</v>
      </c>
      <c r="N34" s="12"/>
      <c r="O34" s="12"/>
      <c r="P34" s="12">
        <v>1</v>
      </c>
      <c r="Q34" s="12">
        <v>1</v>
      </c>
      <c r="R34" s="12"/>
      <c r="S34" s="12" t="s">
        <v>29</v>
      </c>
      <c r="T34" s="12" t="s">
        <v>156</v>
      </c>
    </row>
    <row r="35" spans="1:20" x14ac:dyDescent="0.25">
      <c r="A35" s="12" t="s">
        <v>161</v>
      </c>
      <c r="B35" s="13" t="s">
        <v>162</v>
      </c>
      <c r="C35" s="12" t="s">
        <v>126</v>
      </c>
      <c r="D35" s="12">
        <v>16</v>
      </c>
      <c r="E35" s="12"/>
      <c r="F35" s="12"/>
      <c r="G35" s="12">
        <v>0</v>
      </c>
      <c r="H35" s="12">
        <v>1</v>
      </c>
      <c r="I35" s="12" t="s">
        <v>163</v>
      </c>
      <c r="J35" s="13" t="s">
        <v>164</v>
      </c>
      <c r="K35" s="12" t="s">
        <v>126</v>
      </c>
      <c r="L35" s="12"/>
      <c r="M35" s="12">
        <v>16</v>
      </c>
      <c r="N35" s="12"/>
      <c r="O35" s="12"/>
      <c r="P35" s="12">
        <v>0</v>
      </c>
      <c r="Q35" s="12">
        <v>1</v>
      </c>
      <c r="R35" s="12"/>
      <c r="S35" s="12" t="s">
        <v>29</v>
      </c>
      <c r="T35" s="12" t="s">
        <v>156</v>
      </c>
    </row>
    <row r="36" spans="1:20" x14ac:dyDescent="0.25">
      <c r="A36" s="12" t="s">
        <v>165</v>
      </c>
      <c r="B36" s="13" t="s">
        <v>166</v>
      </c>
      <c r="C36" s="12" t="s">
        <v>129</v>
      </c>
      <c r="D36" s="12">
        <v>16</v>
      </c>
      <c r="E36" s="12"/>
      <c r="F36" s="12"/>
      <c r="G36" s="12">
        <v>1</v>
      </c>
      <c r="H36" s="12">
        <v>1</v>
      </c>
      <c r="I36" s="12" t="s">
        <v>167</v>
      </c>
      <c r="J36" s="13" t="s">
        <v>168</v>
      </c>
      <c r="K36" s="12" t="s">
        <v>129</v>
      </c>
      <c r="L36" s="12"/>
      <c r="M36" s="12">
        <v>16</v>
      </c>
      <c r="N36" s="12"/>
      <c r="O36" s="12"/>
      <c r="P36" s="12">
        <v>1</v>
      </c>
      <c r="Q36" s="12">
        <v>1</v>
      </c>
      <c r="R36" s="12"/>
      <c r="S36" s="12" t="s">
        <v>29</v>
      </c>
      <c r="T36" s="12" t="s">
        <v>156</v>
      </c>
    </row>
    <row r="37" spans="1:20" x14ac:dyDescent="0.25">
      <c r="A37" s="12" t="s">
        <v>169</v>
      </c>
      <c r="B37" s="13" t="s">
        <v>170</v>
      </c>
      <c r="C37" s="12" t="s">
        <v>132</v>
      </c>
      <c r="D37" s="12">
        <v>35</v>
      </c>
      <c r="E37" s="12"/>
      <c r="F37" s="12"/>
      <c r="G37" s="12">
        <v>1</v>
      </c>
      <c r="H37" s="12">
        <v>1</v>
      </c>
      <c r="I37" s="12" t="s">
        <v>171</v>
      </c>
      <c r="J37" s="13" t="s">
        <v>172</v>
      </c>
      <c r="K37" s="12" t="s">
        <v>132</v>
      </c>
      <c r="L37" s="12"/>
      <c r="M37" s="12">
        <v>35</v>
      </c>
      <c r="N37" s="12"/>
      <c r="O37" s="12"/>
      <c r="P37" s="12">
        <v>1</v>
      </c>
      <c r="Q37" s="12">
        <v>1</v>
      </c>
      <c r="R37" s="12"/>
      <c r="S37" s="12" t="s">
        <v>29</v>
      </c>
      <c r="T37" s="12" t="s">
        <v>156</v>
      </c>
    </row>
    <row r="38" spans="1:20" x14ac:dyDescent="0.25">
      <c r="A38" s="12"/>
      <c r="B38" s="12"/>
      <c r="C38" s="12"/>
      <c r="D38" s="12"/>
      <c r="E38" s="12"/>
      <c r="F38" s="12"/>
      <c r="G38" s="12"/>
      <c r="H38" s="12"/>
      <c r="I38" s="12" t="s">
        <v>173</v>
      </c>
      <c r="J38" s="13" t="s">
        <v>174</v>
      </c>
      <c r="K38" s="12" t="s">
        <v>135</v>
      </c>
      <c r="L38" s="12"/>
      <c r="M38" s="12">
        <v>35</v>
      </c>
      <c r="N38" s="12"/>
      <c r="O38" s="12"/>
      <c r="P38" s="12">
        <v>1</v>
      </c>
      <c r="Q38" s="12">
        <v>1</v>
      </c>
      <c r="R38" s="12" t="s">
        <v>91</v>
      </c>
      <c r="S38" s="12" t="s">
        <v>175</v>
      </c>
      <c r="T38" s="12" t="s">
        <v>176</v>
      </c>
    </row>
    <row r="39" spans="1:20" x14ac:dyDescent="0.25">
      <c r="A39" s="12" t="s">
        <v>177</v>
      </c>
      <c r="B39" s="13" t="s">
        <v>178</v>
      </c>
      <c r="C39" s="12" t="s">
        <v>138</v>
      </c>
      <c r="D39" s="12"/>
      <c r="E39" s="12">
        <v>2</v>
      </c>
      <c r="F39" s="12"/>
      <c r="G39" s="12">
        <v>1</v>
      </c>
      <c r="H39" s="12">
        <v>1</v>
      </c>
      <c r="I39" s="12" t="s">
        <v>179</v>
      </c>
      <c r="J39" s="13" t="s">
        <v>180</v>
      </c>
      <c r="K39" s="12" t="s">
        <v>138</v>
      </c>
      <c r="L39" s="12"/>
      <c r="M39" s="12"/>
      <c r="N39" s="12">
        <v>2</v>
      </c>
      <c r="O39" s="12"/>
      <c r="P39" s="12">
        <v>1</v>
      </c>
      <c r="Q39" s="12">
        <v>1</v>
      </c>
      <c r="R39" s="12"/>
      <c r="S39" s="12" t="s">
        <v>29</v>
      </c>
      <c r="T39" s="12" t="s">
        <v>156</v>
      </c>
    </row>
    <row r="40" spans="1:20" x14ac:dyDescent="0.25">
      <c r="A40" s="12"/>
      <c r="B40" s="12"/>
      <c r="C40" s="12"/>
      <c r="D40" s="12"/>
      <c r="E40" s="12"/>
      <c r="F40" s="12"/>
      <c r="G40" s="12"/>
      <c r="H40" s="12"/>
      <c r="I40" s="12" t="s">
        <v>181</v>
      </c>
      <c r="J40" s="13" t="s">
        <v>182</v>
      </c>
      <c r="K40" s="12" t="s">
        <v>141</v>
      </c>
      <c r="L40" s="12"/>
      <c r="M40" s="12">
        <v>70</v>
      </c>
      <c r="N40" s="12"/>
      <c r="O40" s="12"/>
      <c r="P40" s="12">
        <v>0</v>
      </c>
      <c r="Q40" s="12">
        <v>1</v>
      </c>
      <c r="R40" s="12" t="s">
        <v>91</v>
      </c>
      <c r="S40" s="12" t="s">
        <v>118</v>
      </c>
      <c r="T40" s="12" t="s">
        <v>183</v>
      </c>
    </row>
    <row r="41" spans="1:20" x14ac:dyDescent="0.25">
      <c r="A41" s="12"/>
      <c r="B41" s="12"/>
      <c r="C41" s="12"/>
      <c r="D41" s="12"/>
      <c r="E41" s="12"/>
      <c r="F41" s="12"/>
      <c r="G41" s="12"/>
      <c r="H41" s="12"/>
      <c r="I41" s="12" t="s">
        <v>184</v>
      </c>
      <c r="J41" s="13" t="s">
        <v>185</v>
      </c>
      <c r="K41" s="12" t="s">
        <v>144</v>
      </c>
      <c r="L41" s="12"/>
      <c r="M41" s="12"/>
      <c r="N41" s="12"/>
      <c r="O41" s="12"/>
      <c r="P41" s="12">
        <v>1</v>
      </c>
      <c r="Q41" s="12">
        <v>1</v>
      </c>
      <c r="R41" s="12" t="s">
        <v>91</v>
      </c>
      <c r="S41" s="12" t="s">
        <v>118</v>
      </c>
      <c r="T41" s="12" t="s">
        <v>151</v>
      </c>
    </row>
    <row r="42" spans="1:20" x14ac:dyDescent="0.25">
      <c r="A42" s="12" t="s">
        <v>186</v>
      </c>
      <c r="B42" s="13" t="s">
        <v>187</v>
      </c>
      <c r="C42" s="12" t="s">
        <v>188</v>
      </c>
      <c r="D42" s="12"/>
      <c r="E42" s="12">
        <v>10</v>
      </c>
      <c r="F42" s="12"/>
      <c r="G42" s="12">
        <v>1</v>
      </c>
      <c r="H42" s="12">
        <v>1</v>
      </c>
      <c r="I42" s="12" t="s">
        <v>189</v>
      </c>
      <c r="J42" s="13" t="s">
        <v>190</v>
      </c>
      <c r="K42" s="12" t="s">
        <v>188</v>
      </c>
      <c r="L42" s="12"/>
      <c r="M42" s="12"/>
      <c r="N42" s="12">
        <v>10</v>
      </c>
      <c r="O42" s="12"/>
      <c r="P42" s="12">
        <v>1</v>
      </c>
      <c r="Q42" s="12">
        <v>1</v>
      </c>
      <c r="R42" s="12"/>
      <c r="S42" s="12" t="s">
        <v>29</v>
      </c>
      <c r="T42" s="12" t="s">
        <v>29</v>
      </c>
    </row>
    <row r="43" spans="1:20" x14ac:dyDescent="0.25">
      <c r="A43" s="12" t="s">
        <v>191</v>
      </c>
      <c r="B43" s="13" t="s">
        <v>192</v>
      </c>
      <c r="C43" s="12" t="s">
        <v>193</v>
      </c>
      <c r="D43" s="12">
        <v>35</v>
      </c>
      <c r="E43" s="12"/>
      <c r="F43" s="12"/>
      <c r="G43" s="12">
        <v>1</v>
      </c>
      <c r="H43" s="12">
        <v>1</v>
      </c>
      <c r="I43" s="12" t="s">
        <v>194</v>
      </c>
      <c r="J43" s="13" t="s">
        <v>195</v>
      </c>
      <c r="K43" s="12" t="s">
        <v>193</v>
      </c>
      <c r="L43" s="12"/>
      <c r="M43" s="12">
        <v>35</v>
      </c>
      <c r="N43" s="12"/>
      <c r="O43" s="12"/>
      <c r="P43" s="12">
        <v>1</v>
      </c>
      <c r="Q43" s="12">
        <v>1</v>
      </c>
      <c r="R43" s="12"/>
      <c r="S43" s="12" t="s">
        <v>29</v>
      </c>
      <c r="T43" s="12" t="s">
        <v>29</v>
      </c>
    </row>
    <row r="44" spans="1:20" x14ac:dyDescent="0.25">
      <c r="A44" s="12" t="s">
        <v>196</v>
      </c>
      <c r="B44" s="13" t="s">
        <v>197</v>
      </c>
      <c r="C44" s="12" t="s">
        <v>198</v>
      </c>
      <c r="D44" s="12"/>
      <c r="E44" s="12">
        <v>2</v>
      </c>
      <c r="F44" s="12"/>
      <c r="G44" s="12">
        <v>1</v>
      </c>
      <c r="H44" s="12">
        <v>1</v>
      </c>
      <c r="I44" s="12" t="s">
        <v>199</v>
      </c>
      <c r="J44" s="13" t="s">
        <v>200</v>
      </c>
      <c r="K44" s="12" t="s">
        <v>198</v>
      </c>
      <c r="L44" s="12"/>
      <c r="M44" s="12"/>
      <c r="N44" s="12">
        <v>2</v>
      </c>
      <c r="O44" s="12"/>
      <c r="P44" s="12">
        <v>1</v>
      </c>
      <c r="Q44" s="12">
        <v>1</v>
      </c>
      <c r="R44" s="12"/>
      <c r="S44" s="12" t="s">
        <v>29</v>
      </c>
      <c r="T44" s="12" t="s">
        <v>29</v>
      </c>
    </row>
    <row r="45" spans="1:20" x14ac:dyDescent="0.25">
      <c r="A45" s="12" t="s">
        <v>201</v>
      </c>
      <c r="B45" s="13" t="s">
        <v>202</v>
      </c>
      <c r="C45" s="12" t="s">
        <v>148</v>
      </c>
      <c r="D45" s="16">
        <v>17</v>
      </c>
      <c r="E45" s="12"/>
      <c r="F45" s="12"/>
      <c r="G45" s="12">
        <v>1</v>
      </c>
      <c r="H45" s="12">
        <v>1</v>
      </c>
      <c r="I45" s="12" t="s">
        <v>203</v>
      </c>
      <c r="J45" s="13" t="s">
        <v>204</v>
      </c>
      <c r="K45" s="12" t="s">
        <v>148</v>
      </c>
      <c r="L45" s="12"/>
      <c r="M45" s="16">
        <v>34</v>
      </c>
      <c r="N45" s="12"/>
      <c r="O45" s="12"/>
      <c r="P45" s="12">
        <v>1</v>
      </c>
      <c r="Q45" s="12">
        <v>1</v>
      </c>
      <c r="R45" s="12"/>
      <c r="S45" s="12" t="s">
        <v>29</v>
      </c>
      <c r="T45" s="12" t="s">
        <v>205</v>
      </c>
    </row>
    <row r="46" spans="1:20" s="14" customFormat="1" x14ac:dyDescent="0.25">
      <c r="A46" s="14" t="s">
        <v>206</v>
      </c>
      <c r="B46" s="15" t="s">
        <v>207</v>
      </c>
      <c r="C46" s="14" t="s">
        <v>106</v>
      </c>
      <c r="D46" s="14">
        <v>9</v>
      </c>
      <c r="G46" s="14">
        <v>1</v>
      </c>
      <c r="H46" s="14">
        <v>1</v>
      </c>
      <c r="I46" s="14" t="s">
        <v>208</v>
      </c>
      <c r="J46" s="15" t="s">
        <v>209</v>
      </c>
      <c r="K46" s="14" t="s">
        <v>106</v>
      </c>
      <c r="M46" s="14">
        <v>9</v>
      </c>
      <c r="P46" s="14">
        <v>1</v>
      </c>
      <c r="Q46" s="14">
        <v>1</v>
      </c>
      <c r="S46" s="14" t="s">
        <v>29</v>
      </c>
      <c r="T46" s="14" t="s">
        <v>109</v>
      </c>
    </row>
    <row r="47" spans="1:20" s="14" customFormat="1" x14ac:dyDescent="0.25">
      <c r="A47" s="14" t="s">
        <v>210</v>
      </c>
      <c r="B47" s="15" t="s">
        <v>211</v>
      </c>
      <c r="C47" s="14" t="s">
        <v>106</v>
      </c>
      <c r="D47" s="14">
        <v>9</v>
      </c>
      <c r="G47" s="14">
        <v>1</v>
      </c>
      <c r="H47" s="14">
        <v>1</v>
      </c>
      <c r="I47" s="14" t="s">
        <v>212</v>
      </c>
      <c r="J47" s="15" t="s">
        <v>213</v>
      </c>
      <c r="K47" s="14" t="s">
        <v>106</v>
      </c>
      <c r="M47" s="14">
        <v>9</v>
      </c>
      <c r="P47" s="14">
        <v>1</v>
      </c>
      <c r="Q47" s="14">
        <v>1</v>
      </c>
      <c r="S47" s="14" t="s">
        <v>29</v>
      </c>
      <c r="T47" s="14" t="s">
        <v>114</v>
      </c>
    </row>
    <row r="48" spans="1:20" x14ac:dyDescent="0.25">
      <c r="A48" s="12" t="s">
        <v>214</v>
      </c>
      <c r="B48" s="13" t="s">
        <v>215</v>
      </c>
      <c r="C48" s="12" t="s">
        <v>117</v>
      </c>
      <c r="D48" s="12">
        <v>140</v>
      </c>
      <c r="E48" s="12"/>
      <c r="F48" s="12"/>
      <c r="G48" s="12">
        <v>1</v>
      </c>
      <c r="H48" s="12">
        <v>1</v>
      </c>
      <c r="I48" s="12" t="s">
        <v>216</v>
      </c>
      <c r="J48" s="13" t="s">
        <v>217</v>
      </c>
      <c r="K48" s="12" t="s">
        <v>117</v>
      </c>
      <c r="L48" s="12"/>
      <c r="M48" s="12">
        <v>140</v>
      </c>
      <c r="N48" s="12"/>
      <c r="O48" s="12"/>
      <c r="P48" s="12">
        <v>1</v>
      </c>
      <c r="Q48" s="12">
        <v>1</v>
      </c>
      <c r="R48" s="12"/>
      <c r="S48" s="12" t="s">
        <v>29</v>
      </c>
      <c r="T48" s="12" t="s">
        <v>218</v>
      </c>
    </row>
    <row r="49" spans="1:20" x14ac:dyDescent="0.25">
      <c r="A49" s="12" t="s">
        <v>219</v>
      </c>
      <c r="B49" s="13" t="s">
        <v>220</v>
      </c>
      <c r="C49" s="12" t="s">
        <v>122</v>
      </c>
      <c r="D49" s="12">
        <v>70</v>
      </c>
      <c r="E49" s="12"/>
      <c r="F49" s="12"/>
      <c r="G49" s="12">
        <v>1</v>
      </c>
      <c r="H49" s="12">
        <v>1</v>
      </c>
      <c r="I49" s="12" t="s">
        <v>221</v>
      </c>
      <c r="J49" s="13" t="s">
        <v>222</v>
      </c>
      <c r="K49" s="12" t="s">
        <v>122</v>
      </c>
      <c r="L49" s="12"/>
      <c r="M49" s="12">
        <v>70</v>
      </c>
      <c r="N49" s="12"/>
      <c r="O49" s="12"/>
      <c r="P49" s="12">
        <v>1</v>
      </c>
      <c r="Q49" s="12">
        <v>1</v>
      </c>
      <c r="R49" s="12"/>
      <c r="S49" s="12" t="s">
        <v>29</v>
      </c>
      <c r="T49" s="12" t="s">
        <v>218</v>
      </c>
    </row>
    <row r="50" spans="1:20" x14ac:dyDescent="0.25">
      <c r="A50" s="12" t="s">
        <v>223</v>
      </c>
      <c r="B50" s="13" t="s">
        <v>224</v>
      </c>
      <c r="C50" s="12" t="s">
        <v>126</v>
      </c>
      <c r="D50" s="12">
        <v>16</v>
      </c>
      <c r="E50" s="12"/>
      <c r="F50" s="12"/>
      <c r="G50" s="12">
        <v>0</v>
      </c>
      <c r="H50" s="12">
        <v>1</v>
      </c>
      <c r="I50" s="12" t="s">
        <v>225</v>
      </c>
      <c r="J50" s="13" t="s">
        <v>226</v>
      </c>
      <c r="K50" s="12" t="s">
        <v>126</v>
      </c>
      <c r="L50" s="12"/>
      <c r="M50" s="12">
        <v>16</v>
      </c>
      <c r="N50" s="12"/>
      <c r="O50" s="12"/>
      <c r="P50" s="12">
        <v>0</v>
      </c>
      <c r="Q50" s="12">
        <v>1</v>
      </c>
      <c r="R50" s="12"/>
      <c r="S50" s="12" t="s">
        <v>29</v>
      </c>
      <c r="T50" s="12" t="s">
        <v>218</v>
      </c>
    </row>
    <row r="51" spans="1:20" x14ac:dyDescent="0.25">
      <c r="A51" s="12" t="s">
        <v>227</v>
      </c>
      <c r="B51" s="13" t="s">
        <v>228</v>
      </c>
      <c r="C51" s="12" t="s">
        <v>129</v>
      </c>
      <c r="D51" s="12">
        <v>16</v>
      </c>
      <c r="E51" s="12"/>
      <c r="F51" s="12"/>
      <c r="G51" s="12">
        <v>1</v>
      </c>
      <c r="H51" s="12">
        <v>1</v>
      </c>
      <c r="I51" s="12" t="s">
        <v>229</v>
      </c>
      <c r="J51" s="13" t="s">
        <v>230</v>
      </c>
      <c r="K51" s="12" t="s">
        <v>129</v>
      </c>
      <c r="L51" s="12"/>
      <c r="M51" s="12">
        <v>16</v>
      </c>
      <c r="N51" s="12"/>
      <c r="O51" s="12"/>
      <c r="P51" s="12">
        <v>1</v>
      </c>
      <c r="Q51" s="12">
        <v>1</v>
      </c>
      <c r="R51" s="12"/>
      <c r="S51" s="12" t="s">
        <v>29</v>
      </c>
      <c r="T51" s="12" t="s">
        <v>218</v>
      </c>
    </row>
    <row r="52" spans="1:20" x14ac:dyDescent="0.25">
      <c r="A52" s="12" t="s">
        <v>231</v>
      </c>
      <c r="B52" s="13" t="s">
        <v>232</v>
      </c>
      <c r="C52" s="12" t="s">
        <v>132</v>
      </c>
      <c r="D52" s="12">
        <v>35</v>
      </c>
      <c r="E52" s="12"/>
      <c r="F52" s="12"/>
      <c r="G52" s="12">
        <v>1</v>
      </c>
      <c r="H52" s="12">
        <v>1</v>
      </c>
      <c r="I52" s="12" t="s">
        <v>233</v>
      </c>
      <c r="J52" s="13" t="s">
        <v>234</v>
      </c>
      <c r="K52" s="12" t="s">
        <v>132</v>
      </c>
      <c r="L52" s="12"/>
      <c r="M52" s="12">
        <v>35</v>
      </c>
      <c r="N52" s="12"/>
      <c r="O52" s="12"/>
      <c r="P52" s="12">
        <v>1</v>
      </c>
      <c r="Q52" s="12">
        <v>1</v>
      </c>
      <c r="R52" s="12"/>
      <c r="S52" s="12" t="s">
        <v>29</v>
      </c>
      <c r="T52" s="12" t="s">
        <v>218</v>
      </c>
    </row>
    <row r="53" spans="1:20" x14ac:dyDescent="0.25">
      <c r="A53" s="12"/>
      <c r="B53" s="12"/>
      <c r="C53" s="12"/>
      <c r="D53" s="12"/>
      <c r="E53" s="12"/>
      <c r="F53" s="12"/>
      <c r="G53" s="12"/>
      <c r="H53" s="12"/>
      <c r="I53" s="12" t="s">
        <v>235</v>
      </c>
      <c r="J53" s="13" t="s">
        <v>236</v>
      </c>
      <c r="K53" s="12" t="s">
        <v>135</v>
      </c>
      <c r="L53" s="12"/>
      <c r="M53" s="12">
        <v>35</v>
      </c>
      <c r="N53" s="12"/>
      <c r="O53" s="12"/>
      <c r="P53" s="12">
        <v>1</v>
      </c>
      <c r="Q53" s="12">
        <v>1</v>
      </c>
      <c r="R53" s="12" t="s">
        <v>91</v>
      </c>
      <c r="S53" s="12" t="s">
        <v>175</v>
      </c>
      <c r="T53" s="12" t="s">
        <v>237</v>
      </c>
    </row>
    <row r="54" spans="1:20" x14ac:dyDescent="0.25">
      <c r="A54" s="12" t="s">
        <v>238</v>
      </c>
      <c r="B54" s="13" t="s">
        <v>239</v>
      </c>
      <c r="C54" s="12" t="s">
        <v>138</v>
      </c>
      <c r="D54" s="12"/>
      <c r="E54" s="12">
        <v>2</v>
      </c>
      <c r="F54" s="12"/>
      <c r="G54" s="12">
        <v>1</v>
      </c>
      <c r="H54" s="12">
        <v>1</v>
      </c>
      <c r="I54" s="12" t="s">
        <v>240</v>
      </c>
      <c r="J54" s="13" t="s">
        <v>241</v>
      </c>
      <c r="K54" s="12" t="s">
        <v>138</v>
      </c>
      <c r="L54" s="12"/>
      <c r="M54" s="12"/>
      <c r="N54" s="12">
        <v>2</v>
      </c>
      <c r="O54" s="12"/>
      <c r="P54" s="12">
        <v>1</v>
      </c>
      <c r="Q54" s="12">
        <v>1</v>
      </c>
      <c r="R54" s="12"/>
      <c r="S54" s="12" t="s">
        <v>29</v>
      </c>
      <c r="T54" s="12" t="s">
        <v>218</v>
      </c>
    </row>
    <row r="55" spans="1:20" x14ac:dyDescent="0.25">
      <c r="A55" s="12"/>
      <c r="B55" s="12"/>
      <c r="C55" s="12"/>
      <c r="D55" s="12"/>
      <c r="E55" s="12"/>
      <c r="F55" s="12"/>
      <c r="G55" s="12"/>
      <c r="H55" s="12"/>
      <c r="I55" s="12" t="s">
        <v>242</v>
      </c>
      <c r="J55" s="13" t="s">
        <v>243</v>
      </c>
      <c r="K55" s="12" t="s">
        <v>141</v>
      </c>
      <c r="L55" s="12"/>
      <c r="M55" s="12">
        <v>70</v>
      </c>
      <c r="N55" s="12"/>
      <c r="O55" s="12"/>
      <c r="P55" s="12">
        <v>0</v>
      </c>
      <c r="Q55" s="12">
        <v>1</v>
      </c>
      <c r="R55" s="12" t="s">
        <v>91</v>
      </c>
      <c r="S55" s="12" t="str">
        <f>IF(R55="NEW ELEMENT","N/A", check)</f>
        <v>N/A</v>
      </c>
      <c r="T55" s="12" t="s">
        <v>244</v>
      </c>
    </row>
    <row r="56" spans="1:20" x14ac:dyDescent="0.25">
      <c r="A56" s="12"/>
      <c r="B56" s="12"/>
      <c r="C56" s="12"/>
      <c r="D56" s="12"/>
      <c r="E56" s="12"/>
      <c r="F56" s="12"/>
      <c r="G56" s="12"/>
      <c r="H56" s="12"/>
      <c r="I56" s="12" t="s">
        <v>245</v>
      </c>
      <c r="J56" s="13" t="s">
        <v>246</v>
      </c>
      <c r="K56" s="12" t="s">
        <v>144</v>
      </c>
      <c r="L56" s="12"/>
      <c r="M56" s="12"/>
      <c r="N56" s="12"/>
      <c r="O56" s="12"/>
      <c r="P56" s="12">
        <v>1</v>
      </c>
      <c r="Q56" s="12">
        <v>1</v>
      </c>
      <c r="R56" s="12" t="s">
        <v>91</v>
      </c>
      <c r="S56" s="12" t="str">
        <f>IF(R56="NEW ELEMENT","N/A", check)</f>
        <v>N/A</v>
      </c>
      <c r="T56" s="12" t="s">
        <v>151</v>
      </c>
    </row>
    <row r="57" spans="1:20" x14ac:dyDescent="0.25">
      <c r="A57" s="12" t="s">
        <v>247</v>
      </c>
      <c r="B57" s="13" t="s">
        <v>248</v>
      </c>
      <c r="C57" s="12" t="s">
        <v>188</v>
      </c>
      <c r="D57" s="12"/>
      <c r="E57" s="12">
        <v>10</v>
      </c>
      <c r="F57" s="12"/>
      <c r="G57" s="12">
        <v>1</v>
      </c>
      <c r="H57" s="12">
        <v>1</v>
      </c>
      <c r="I57" s="12" t="s">
        <v>249</v>
      </c>
      <c r="J57" s="13" t="s">
        <v>250</v>
      </c>
      <c r="K57" s="12" t="s">
        <v>188</v>
      </c>
      <c r="L57" s="12"/>
      <c r="M57" s="12"/>
      <c r="N57" s="12">
        <v>10</v>
      </c>
      <c r="O57" s="12"/>
      <c r="P57" s="12">
        <v>1</v>
      </c>
      <c r="Q57" s="12">
        <v>1</v>
      </c>
      <c r="R57" s="12"/>
      <c r="S57" s="12" t="s">
        <v>29</v>
      </c>
      <c r="T57" s="12" t="s">
        <v>29</v>
      </c>
    </row>
    <row r="58" spans="1:20" x14ac:dyDescent="0.25">
      <c r="A58" s="12" t="s">
        <v>251</v>
      </c>
      <c r="B58" s="13" t="s">
        <v>252</v>
      </c>
      <c r="C58" s="12" t="s">
        <v>193</v>
      </c>
      <c r="D58" s="12">
        <v>35</v>
      </c>
      <c r="E58" s="12"/>
      <c r="F58" s="12"/>
      <c r="G58" s="12">
        <v>1</v>
      </c>
      <c r="H58" s="12">
        <v>1</v>
      </c>
      <c r="I58" s="12" t="s">
        <v>253</v>
      </c>
      <c r="J58" s="13" t="s">
        <v>254</v>
      </c>
      <c r="K58" s="12" t="s">
        <v>193</v>
      </c>
      <c r="L58" s="12"/>
      <c r="M58" s="12">
        <v>35</v>
      </c>
      <c r="N58" s="12"/>
      <c r="O58" s="12"/>
      <c r="P58" s="12">
        <v>1</v>
      </c>
      <c r="Q58" s="12">
        <v>1</v>
      </c>
      <c r="R58" s="12"/>
      <c r="S58" s="12" t="s">
        <v>29</v>
      </c>
      <c r="T58" s="12" t="s">
        <v>29</v>
      </c>
    </row>
    <row r="59" spans="1:20" x14ac:dyDescent="0.25">
      <c r="A59" s="12" t="s">
        <v>255</v>
      </c>
      <c r="B59" s="13" t="s">
        <v>256</v>
      </c>
      <c r="C59" s="12" t="s">
        <v>198</v>
      </c>
      <c r="D59" s="12"/>
      <c r="E59" s="12">
        <v>2</v>
      </c>
      <c r="F59" s="12"/>
      <c r="G59" s="12">
        <v>1</v>
      </c>
      <c r="H59" s="12">
        <v>1</v>
      </c>
      <c r="I59" s="12" t="s">
        <v>257</v>
      </c>
      <c r="J59" s="13" t="s">
        <v>258</v>
      </c>
      <c r="K59" s="12" t="s">
        <v>198</v>
      </c>
      <c r="L59" s="12"/>
      <c r="M59" s="12"/>
      <c r="N59" s="12">
        <v>2</v>
      </c>
      <c r="O59" s="12"/>
      <c r="P59" s="12">
        <v>1</v>
      </c>
      <c r="Q59" s="12">
        <v>1</v>
      </c>
      <c r="R59" s="12"/>
      <c r="S59" s="12" t="s">
        <v>29</v>
      </c>
      <c r="T59" s="12" t="s">
        <v>29</v>
      </c>
    </row>
    <row r="60" spans="1:20" x14ac:dyDescent="0.25">
      <c r="A60" s="12" t="s">
        <v>259</v>
      </c>
      <c r="B60" s="13" t="s">
        <v>260</v>
      </c>
      <c r="C60" s="12" t="s">
        <v>148</v>
      </c>
      <c r="D60" s="16">
        <v>17</v>
      </c>
      <c r="E60" s="12"/>
      <c r="F60" s="12"/>
      <c r="G60" s="12">
        <v>1</v>
      </c>
      <c r="H60" s="12">
        <v>1</v>
      </c>
      <c r="I60" s="12" t="s">
        <v>261</v>
      </c>
      <c r="J60" s="13" t="s">
        <v>262</v>
      </c>
      <c r="K60" s="12" t="s">
        <v>148</v>
      </c>
      <c r="L60" s="12"/>
      <c r="M60" s="16">
        <v>34</v>
      </c>
      <c r="N60" s="12"/>
      <c r="O60" s="12"/>
      <c r="P60" s="12">
        <v>1</v>
      </c>
      <c r="Q60" s="12">
        <v>1</v>
      </c>
      <c r="R60" s="12"/>
      <c r="S60" s="12" t="s">
        <v>29</v>
      </c>
      <c r="T60" s="12" t="s">
        <v>205</v>
      </c>
    </row>
    <row r="61" spans="1:20" x14ac:dyDescent="0.25">
      <c r="A61" s="12"/>
      <c r="B61" s="12"/>
      <c r="C61" s="12"/>
      <c r="D61" s="12"/>
      <c r="E61" s="12"/>
      <c r="F61" s="12"/>
      <c r="G61" s="12"/>
      <c r="H61" s="12"/>
      <c r="I61" s="12" t="s">
        <v>263</v>
      </c>
      <c r="J61" s="13" t="s">
        <v>264</v>
      </c>
      <c r="K61" s="12" t="s">
        <v>148</v>
      </c>
      <c r="L61" s="12"/>
      <c r="M61" s="12">
        <v>256</v>
      </c>
      <c r="N61" s="12"/>
      <c r="O61" s="12"/>
      <c r="P61" s="12">
        <v>1</v>
      </c>
      <c r="Q61" s="12">
        <v>1</v>
      </c>
      <c r="R61" s="12" t="s">
        <v>91</v>
      </c>
      <c r="S61" s="12" t="s">
        <v>118</v>
      </c>
      <c r="T61" s="12" t="s">
        <v>151</v>
      </c>
    </row>
    <row r="62" spans="1:20" x14ac:dyDescent="0.25">
      <c r="A62" s="12"/>
      <c r="B62" s="12"/>
      <c r="C62" s="12"/>
      <c r="D62" s="12"/>
      <c r="E62" s="12"/>
      <c r="F62" s="12"/>
      <c r="G62" s="12"/>
      <c r="H62" s="12"/>
      <c r="I62" s="12" t="s">
        <v>265</v>
      </c>
      <c r="J62" s="13" t="s">
        <v>266</v>
      </c>
      <c r="K62" s="12" t="s">
        <v>117</v>
      </c>
      <c r="L62" s="12"/>
      <c r="M62" s="12">
        <v>140</v>
      </c>
      <c r="N62" s="12"/>
      <c r="O62" s="12"/>
      <c r="P62" s="12">
        <v>1</v>
      </c>
      <c r="Q62" s="12">
        <v>1</v>
      </c>
      <c r="R62" s="12" t="s">
        <v>91</v>
      </c>
      <c r="S62" s="12" t="str">
        <f>IF(R62="NEW ELEMENT","N/A", check)</f>
        <v>N/A</v>
      </c>
      <c r="T62" s="12" t="s">
        <v>267</v>
      </c>
    </row>
    <row r="63" spans="1:20" x14ac:dyDescent="0.25">
      <c r="A63" s="12"/>
      <c r="B63" s="12"/>
      <c r="C63" s="12"/>
      <c r="D63" s="12"/>
      <c r="E63" s="12"/>
      <c r="F63" s="12"/>
      <c r="G63" s="12"/>
      <c r="H63" s="12"/>
      <c r="I63" s="12" t="s">
        <v>268</v>
      </c>
      <c r="J63" s="13" t="s">
        <v>269</v>
      </c>
      <c r="K63" s="12" t="s">
        <v>122</v>
      </c>
      <c r="L63" s="12"/>
      <c r="M63" s="12">
        <v>70</v>
      </c>
      <c r="N63" s="12"/>
      <c r="O63" s="12"/>
      <c r="P63" s="12">
        <v>1</v>
      </c>
      <c r="Q63" s="12">
        <v>1</v>
      </c>
      <c r="R63" s="12" t="s">
        <v>91</v>
      </c>
      <c r="S63" s="12" t="str">
        <f>IF(R63="NEW ELEMENT","N/A", check)</f>
        <v>N/A</v>
      </c>
      <c r="T63" s="12" t="s">
        <v>123</v>
      </c>
    </row>
    <row r="64" spans="1:20" x14ac:dyDescent="0.25">
      <c r="A64" s="12"/>
      <c r="B64" s="12"/>
      <c r="C64" s="12"/>
      <c r="D64" s="12"/>
      <c r="E64" s="12"/>
      <c r="F64" s="12"/>
      <c r="G64" s="12"/>
      <c r="H64" s="12"/>
      <c r="I64" s="12" t="s">
        <v>270</v>
      </c>
      <c r="J64" s="13" t="s">
        <v>271</v>
      </c>
      <c r="K64" s="12" t="s">
        <v>126</v>
      </c>
      <c r="L64" s="12"/>
      <c r="M64" s="12">
        <v>16</v>
      </c>
      <c r="N64" s="12"/>
      <c r="O64" s="12"/>
      <c r="P64" s="12">
        <v>0</v>
      </c>
      <c r="Q64" s="12">
        <v>1</v>
      </c>
      <c r="R64" s="12" t="s">
        <v>91</v>
      </c>
      <c r="S64" s="12" t="str">
        <f>IF(R64="NEW ELEMENT","N/A", check)</f>
        <v>N/A</v>
      </c>
      <c r="T64" s="12" t="s">
        <v>123</v>
      </c>
    </row>
    <row r="65" spans="1:20" x14ac:dyDescent="0.25">
      <c r="A65" s="12"/>
      <c r="B65" s="12"/>
      <c r="C65" s="12"/>
      <c r="D65" s="12"/>
      <c r="E65" s="12"/>
      <c r="F65" s="12"/>
      <c r="G65" s="12"/>
      <c r="H65" s="12"/>
      <c r="I65" s="12" t="s">
        <v>272</v>
      </c>
      <c r="J65" s="13" t="s">
        <v>273</v>
      </c>
      <c r="K65" s="12" t="s">
        <v>129</v>
      </c>
      <c r="L65" s="12"/>
      <c r="M65" s="12">
        <v>16</v>
      </c>
      <c r="N65" s="12"/>
      <c r="O65" s="12"/>
      <c r="P65" s="12">
        <v>1</v>
      </c>
      <c r="Q65" s="12">
        <v>1</v>
      </c>
      <c r="R65" s="12" t="s">
        <v>91</v>
      </c>
      <c r="S65" s="12" t="str">
        <f>IF(R65="NEW ELEMENT","N/A", check)</f>
        <v>N/A</v>
      </c>
      <c r="T65" s="12" t="s">
        <v>123</v>
      </c>
    </row>
    <row r="66" spans="1:20" x14ac:dyDescent="0.25">
      <c r="A66" s="12"/>
      <c r="B66" s="12"/>
      <c r="C66" s="12"/>
      <c r="D66" s="12"/>
      <c r="E66" s="12"/>
      <c r="F66" s="12"/>
      <c r="G66" s="12"/>
      <c r="H66" s="12"/>
      <c r="I66" s="12" t="s">
        <v>274</v>
      </c>
      <c r="J66" s="13" t="s">
        <v>275</v>
      </c>
      <c r="K66" s="12" t="s">
        <v>132</v>
      </c>
      <c r="L66" s="12"/>
      <c r="M66" s="12">
        <v>35</v>
      </c>
      <c r="N66" s="12"/>
      <c r="O66" s="12"/>
      <c r="P66" s="12">
        <v>1</v>
      </c>
      <c r="Q66" s="12">
        <v>1</v>
      </c>
      <c r="R66" s="12" t="s">
        <v>91</v>
      </c>
      <c r="S66" s="12" t="str">
        <f>IF(R66="NEW ELEMENT","N/A", check)</f>
        <v>N/A</v>
      </c>
      <c r="T66" s="12" t="s">
        <v>123</v>
      </c>
    </row>
    <row r="67" spans="1:20" x14ac:dyDescent="0.25">
      <c r="A67" s="12"/>
      <c r="B67" s="12"/>
      <c r="C67" s="12"/>
      <c r="D67" s="12"/>
      <c r="E67" s="12"/>
      <c r="F67" s="12"/>
      <c r="G67" s="12"/>
      <c r="H67" s="12"/>
      <c r="I67" s="12" t="s">
        <v>276</v>
      </c>
      <c r="J67" s="13" t="s">
        <v>277</v>
      </c>
      <c r="K67" s="12" t="s">
        <v>135</v>
      </c>
      <c r="L67" s="12"/>
      <c r="M67" s="12">
        <v>35</v>
      </c>
      <c r="N67" s="12"/>
      <c r="O67" s="12"/>
      <c r="P67" s="12">
        <v>1</v>
      </c>
      <c r="Q67" s="12">
        <v>1</v>
      </c>
      <c r="R67" s="12" t="s">
        <v>91</v>
      </c>
      <c r="S67" s="12" t="str">
        <f>IF(R67="NEW ELEMENT","N/A", check)</f>
        <v>N/A</v>
      </c>
      <c r="T67" s="12" t="s">
        <v>123</v>
      </c>
    </row>
    <row r="68" spans="1:20" x14ac:dyDescent="0.25">
      <c r="A68" s="12"/>
      <c r="B68" s="12"/>
      <c r="C68" s="12"/>
      <c r="D68" s="12"/>
      <c r="E68" s="12"/>
      <c r="F68" s="12"/>
      <c r="G68" s="12"/>
      <c r="H68" s="12"/>
      <c r="I68" s="12" t="s">
        <v>278</v>
      </c>
      <c r="J68" s="13" t="s">
        <v>279</v>
      </c>
      <c r="K68" s="12" t="s">
        <v>138</v>
      </c>
      <c r="L68" s="12"/>
      <c r="M68" s="12"/>
      <c r="N68" s="12">
        <v>2</v>
      </c>
      <c r="O68" s="12"/>
      <c r="P68" s="12">
        <v>1</v>
      </c>
      <c r="Q68" s="12">
        <v>1</v>
      </c>
      <c r="R68" s="12" t="s">
        <v>91</v>
      </c>
      <c r="S68" s="12" t="str">
        <f>IF(R68="NEW ELEMENT","N/A", check)</f>
        <v>N/A</v>
      </c>
      <c r="T68" s="12" t="s">
        <v>123</v>
      </c>
    </row>
    <row r="69" spans="1:20" x14ac:dyDescent="0.25">
      <c r="A69" s="12"/>
      <c r="B69" s="12"/>
      <c r="C69" s="12"/>
      <c r="D69" s="12"/>
      <c r="E69" s="12"/>
      <c r="F69" s="12"/>
      <c r="G69" s="12"/>
      <c r="H69" s="12"/>
      <c r="I69" s="12" t="s">
        <v>280</v>
      </c>
      <c r="J69" s="13" t="s">
        <v>281</v>
      </c>
      <c r="K69" s="12" t="s">
        <v>141</v>
      </c>
      <c r="L69" s="12"/>
      <c r="M69" s="12">
        <v>70</v>
      </c>
      <c r="N69" s="12"/>
      <c r="O69" s="12"/>
      <c r="P69" s="12">
        <v>0</v>
      </c>
      <c r="Q69" s="12">
        <v>1</v>
      </c>
      <c r="R69" s="12" t="s">
        <v>91</v>
      </c>
      <c r="S69" s="12" t="str">
        <f>IF(R69="NEW ELEMENT","N/A", check)</f>
        <v>N/A</v>
      </c>
      <c r="T69" s="12" t="s">
        <v>123</v>
      </c>
    </row>
    <row r="70" spans="1:20" x14ac:dyDescent="0.25">
      <c r="A70" s="12"/>
      <c r="B70" s="12"/>
      <c r="C70" s="12"/>
      <c r="D70" s="12"/>
      <c r="E70" s="12"/>
      <c r="F70" s="12"/>
      <c r="G70" s="12"/>
      <c r="H70" s="12"/>
      <c r="I70" s="12" t="s">
        <v>282</v>
      </c>
      <c r="J70" s="13" t="s">
        <v>283</v>
      </c>
      <c r="K70" s="12" t="s">
        <v>144</v>
      </c>
      <c r="L70" s="12"/>
      <c r="M70" s="12"/>
      <c r="N70" s="12"/>
      <c r="O70" s="12"/>
      <c r="P70" s="12">
        <v>1</v>
      </c>
      <c r="Q70" s="12">
        <v>1</v>
      </c>
      <c r="R70" s="12" t="s">
        <v>91</v>
      </c>
      <c r="S70" s="12" t="str">
        <f>IF(R70="NEW ELEMENT","N/A", check)</f>
        <v>N/A</v>
      </c>
      <c r="T70" s="12" t="s">
        <v>284</v>
      </c>
    </row>
    <row r="71" spans="1:20" x14ac:dyDescent="0.25">
      <c r="A71" s="12"/>
      <c r="B71" s="12"/>
      <c r="C71" s="12"/>
      <c r="D71" s="12"/>
      <c r="E71" s="12"/>
      <c r="F71" s="12"/>
      <c r="G71" s="12"/>
      <c r="H71" s="12"/>
      <c r="I71" s="12" t="s">
        <v>285</v>
      </c>
      <c r="J71" s="13" t="s">
        <v>286</v>
      </c>
      <c r="K71" s="12" t="s">
        <v>148</v>
      </c>
      <c r="L71" s="12"/>
      <c r="M71" s="12">
        <v>35</v>
      </c>
      <c r="N71" s="12"/>
      <c r="O71" s="12"/>
      <c r="P71" s="12">
        <v>1</v>
      </c>
      <c r="Q71" s="12">
        <v>1</v>
      </c>
      <c r="R71" s="12" t="s">
        <v>91</v>
      </c>
      <c r="S71" s="12" t="str">
        <f>IF(R71="NEW ELEMENT","N/A", check)</f>
        <v>N/A</v>
      </c>
      <c r="T71" s="12" t="s">
        <v>284</v>
      </c>
    </row>
    <row r="72" spans="1:20" x14ac:dyDescent="0.25">
      <c r="A72" s="12"/>
      <c r="B72" s="12"/>
      <c r="C72" s="12"/>
      <c r="D72" s="12"/>
      <c r="E72" s="12"/>
      <c r="F72" s="12"/>
      <c r="G72" s="12"/>
      <c r="H72" s="12"/>
      <c r="I72" s="12" t="s">
        <v>287</v>
      </c>
      <c r="J72" s="13" t="s">
        <v>288</v>
      </c>
      <c r="K72" s="12" t="s">
        <v>40</v>
      </c>
      <c r="L72" s="12"/>
      <c r="M72" s="12"/>
      <c r="N72" s="12">
        <v>4</v>
      </c>
      <c r="O72" s="12"/>
      <c r="P72" s="12">
        <v>1</v>
      </c>
      <c r="Q72" s="12">
        <v>1</v>
      </c>
      <c r="R72" s="12" t="s">
        <v>91</v>
      </c>
      <c r="S72" s="12" t="str">
        <f>IF(R72="NEW ELEMENT","N/A", check)</f>
        <v>N/A</v>
      </c>
      <c r="T72" s="12" t="s">
        <v>151</v>
      </c>
    </row>
    <row r="73" spans="1:20" x14ac:dyDescent="0.25">
      <c r="A73" s="12"/>
      <c r="B73" s="12"/>
      <c r="C73" s="12"/>
      <c r="D73" s="12"/>
      <c r="E73" s="12"/>
      <c r="F73" s="12"/>
      <c r="G73" s="12"/>
      <c r="H73" s="12"/>
      <c r="I73" s="12" t="s">
        <v>289</v>
      </c>
      <c r="J73" s="13" t="s">
        <v>290</v>
      </c>
      <c r="K73" s="12" t="s">
        <v>291</v>
      </c>
      <c r="L73" s="12"/>
      <c r="M73" s="12">
        <v>140</v>
      </c>
      <c r="N73" s="12"/>
      <c r="O73" s="12"/>
      <c r="P73" s="12">
        <v>1</v>
      </c>
      <c r="Q73" s="12">
        <v>1</v>
      </c>
      <c r="R73" s="12" t="s">
        <v>91</v>
      </c>
      <c r="S73" s="12" t="str">
        <f>IF(R73="NEW ELEMENT","N/A", check)</f>
        <v>N/A</v>
      </c>
      <c r="T73" s="12" t="s">
        <v>151</v>
      </c>
    </row>
    <row r="74" spans="1:20" x14ac:dyDescent="0.25">
      <c r="A74" s="12" t="s">
        <v>292</v>
      </c>
      <c r="B74" s="13" t="s">
        <v>293</v>
      </c>
      <c r="C74" s="12" t="s">
        <v>294</v>
      </c>
      <c r="D74" s="12">
        <v>35</v>
      </c>
      <c r="E74" s="12"/>
      <c r="F74" s="12"/>
      <c r="G74" s="12">
        <v>0</v>
      </c>
      <c r="H74" s="12">
        <v>1</v>
      </c>
      <c r="I74" s="12" t="s">
        <v>295</v>
      </c>
      <c r="J74" s="13" t="s">
        <v>296</v>
      </c>
      <c r="K74" s="12" t="s">
        <v>294</v>
      </c>
      <c r="L74" s="12"/>
      <c r="M74" s="12">
        <v>35</v>
      </c>
      <c r="N74" s="12"/>
      <c r="O74" s="12"/>
      <c r="P74" s="12">
        <v>0</v>
      </c>
      <c r="Q74" s="12">
        <v>1</v>
      </c>
      <c r="R74" s="12"/>
      <c r="S74" s="12" t="s">
        <v>29</v>
      </c>
      <c r="T74" s="12" t="s">
        <v>29</v>
      </c>
    </row>
    <row r="75" spans="1:20" x14ac:dyDescent="0.25">
      <c r="A75" s="12" t="s">
        <v>297</v>
      </c>
      <c r="B75" s="13" t="s">
        <v>298</v>
      </c>
      <c r="C75" s="12" t="s">
        <v>299</v>
      </c>
      <c r="D75" s="12"/>
      <c r="E75" s="12"/>
      <c r="F75" s="12"/>
      <c r="G75" s="12">
        <v>1</v>
      </c>
      <c r="H75" s="12">
        <v>1</v>
      </c>
      <c r="I75" s="12" t="s">
        <v>300</v>
      </c>
      <c r="J75" s="13" t="s">
        <v>301</v>
      </c>
      <c r="K75" s="12" t="s">
        <v>299</v>
      </c>
      <c r="L75" s="12"/>
      <c r="M75" s="12"/>
      <c r="N75" s="12">
        <v>4</v>
      </c>
      <c r="O75" s="12"/>
      <c r="P75" s="12">
        <v>1</v>
      </c>
      <c r="Q75" s="12">
        <v>1</v>
      </c>
      <c r="R75" s="12"/>
      <c r="S75" s="12" t="s">
        <v>29</v>
      </c>
      <c r="T75" s="12" t="s">
        <v>29</v>
      </c>
    </row>
    <row r="76" spans="1:20" x14ac:dyDescent="0.25">
      <c r="A76" s="12" t="s">
        <v>302</v>
      </c>
      <c r="B76" s="13" t="s">
        <v>303</v>
      </c>
      <c r="C76" s="12" t="s">
        <v>304</v>
      </c>
      <c r="D76" s="12">
        <v>2048</v>
      </c>
      <c r="E76" s="12"/>
      <c r="F76" s="12"/>
      <c r="G76" s="12">
        <v>0</v>
      </c>
      <c r="H76" s="12">
        <v>1</v>
      </c>
      <c r="I76" s="12" t="s">
        <v>305</v>
      </c>
      <c r="J76" s="13" t="s">
        <v>306</v>
      </c>
      <c r="K76" s="12" t="s">
        <v>304</v>
      </c>
      <c r="L76" s="12"/>
      <c r="M76" s="16">
        <v>2048</v>
      </c>
      <c r="N76" s="12"/>
      <c r="O76" s="12"/>
      <c r="P76" s="12">
        <v>0</v>
      </c>
      <c r="Q76" s="12">
        <v>1</v>
      </c>
      <c r="R76" s="12"/>
      <c r="S76" s="12" t="s">
        <v>307</v>
      </c>
      <c r="T76" s="12" t="s">
        <v>307</v>
      </c>
    </row>
    <row r="77" spans="1:20" x14ac:dyDescent="0.25">
      <c r="A77" s="12" t="s">
        <v>308</v>
      </c>
      <c r="B77" s="13" t="s">
        <v>309</v>
      </c>
      <c r="C77" s="12" t="s">
        <v>310</v>
      </c>
      <c r="D77" s="12">
        <v>140</v>
      </c>
      <c r="E77" s="12"/>
      <c r="F77" s="12"/>
      <c r="G77" s="12">
        <v>0</v>
      </c>
      <c r="H77" s="12">
        <v>1</v>
      </c>
      <c r="I77" s="12" t="s">
        <v>311</v>
      </c>
      <c r="J77" s="13" t="s">
        <v>312</v>
      </c>
      <c r="K77" s="12" t="s">
        <v>310</v>
      </c>
      <c r="L77" s="12"/>
      <c r="M77" s="12">
        <v>140</v>
      </c>
      <c r="N77" s="12"/>
      <c r="O77" s="12"/>
      <c r="P77" s="12">
        <v>0</v>
      </c>
      <c r="Q77" s="12">
        <v>1</v>
      </c>
      <c r="R77" s="12"/>
      <c r="S77" s="12" t="s">
        <v>29</v>
      </c>
      <c r="T77" s="12" t="s">
        <v>313</v>
      </c>
    </row>
    <row r="78" spans="1:20" x14ac:dyDescent="0.25">
      <c r="A78" s="12" t="s">
        <v>314</v>
      </c>
      <c r="B78" s="13" t="s">
        <v>315</v>
      </c>
      <c r="C78" s="12" t="s">
        <v>316</v>
      </c>
      <c r="D78" s="12">
        <v>35</v>
      </c>
      <c r="E78" s="12"/>
      <c r="F78" s="12"/>
      <c r="G78" s="12">
        <v>1</v>
      </c>
      <c r="H78" s="12">
        <v>1</v>
      </c>
      <c r="I78" s="12" t="s">
        <v>317</v>
      </c>
      <c r="J78" s="13" t="s">
        <v>318</v>
      </c>
      <c r="K78" s="12" t="s">
        <v>316</v>
      </c>
      <c r="L78" s="12"/>
      <c r="M78" s="12">
        <v>35</v>
      </c>
      <c r="N78" s="12"/>
      <c r="O78" s="12"/>
      <c r="P78" s="12">
        <v>1</v>
      </c>
      <c r="Q78" s="12">
        <v>1</v>
      </c>
      <c r="R78" s="12"/>
      <c r="S78" s="12" t="s">
        <v>29</v>
      </c>
      <c r="T78" s="12" t="s">
        <v>29</v>
      </c>
    </row>
    <row r="79" spans="1:20" x14ac:dyDescent="0.25">
      <c r="A79" s="12" t="s">
        <v>319</v>
      </c>
      <c r="B79" s="13" t="s">
        <v>320</v>
      </c>
      <c r="C79" s="12" t="s">
        <v>321</v>
      </c>
      <c r="D79" s="12"/>
      <c r="E79" s="12">
        <v>10</v>
      </c>
      <c r="F79" s="12"/>
      <c r="G79" s="12">
        <v>1</v>
      </c>
      <c r="H79" s="12">
        <v>1</v>
      </c>
      <c r="I79" s="12" t="s">
        <v>322</v>
      </c>
      <c r="J79" s="13" t="s">
        <v>323</v>
      </c>
      <c r="K79" s="12" t="s">
        <v>321</v>
      </c>
      <c r="L79" s="12"/>
      <c r="M79" s="12"/>
      <c r="N79" s="12">
        <v>10</v>
      </c>
      <c r="O79" s="12"/>
      <c r="P79" s="12">
        <v>1</v>
      </c>
      <c r="Q79" s="12">
        <v>1</v>
      </c>
      <c r="R79" s="12"/>
      <c r="S79" s="12" t="s">
        <v>29</v>
      </c>
      <c r="T79" s="12" t="s">
        <v>29</v>
      </c>
    </row>
    <row r="80" spans="1:20" x14ac:dyDescent="0.25">
      <c r="A80" s="12"/>
      <c r="B80" s="12"/>
      <c r="C80" s="12"/>
      <c r="D80" s="12"/>
      <c r="E80" s="12"/>
      <c r="F80" s="12"/>
      <c r="G80" s="12"/>
      <c r="H80" s="12"/>
      <c r="I80" s="12" t="s">
        <v>324</v>
      </c>
      <c r="J80" s="13" t="s">
        <v>325</v>
      </c>
      <c r="K80" s="12" t="s">
        <v>85</v>
      </c>
      <c r="L80" s="12"/>
      <c r="M80" s="12">
        <v>35</v>
      </c>
      <c r="N80" s="12"/>
      <c r="O80" s="12"/>
      <c r="P80" s="12">
        <v>1</v>
      </c>
      <c r="Q80" s="12">
        <v>1</v>
      </c>
      <c r="R80" s="12" t="s">
        <v>91</v>
      </c>
      <c r="S80" s="12" t="str">
        <f>IF(R80="NEW ELEMENT","N/A", check)</f>
        <v>N/A</v>
      </c>
      <c r="T80" s="12" t="s">
        <v>151</v>
      </c>
    </row>
    <row r="81" spans="1:20" x14ac:dyDescent="0.25">
      <c r="A81" s="12"/>
      <c r="B81" s="12"/>
      <c r="C81" s="12"/>
      <c r="D81" s="12"/>
      <c r="E81" s="12"/>
      <c r="F81" s="12"/>
      <c r="G81" s="12"/>
      <c r="H81" s="12"/>
      <c r="I81" s="12" t="s">
        <v>326</v>
      </c>
      <c r="J81" s="13" t="s">
        <v>327</v>
      </c>
      <c r="K81" s="12" t="s">
        <v>328</v>
      </c>
      <c r="L81" s="12"/>
      <c r="M81" s="12"/>
      <c r="N81" s="12"/>
      <c r="O81" s="12">
        <v>18</v>
      </c>
      <c r="P81" s="12">
        <v>1</v>
      </c>
      <c r="Q81" s="12">
        <v>1</v>
      </c>
      <c r="R81" s="12" t="s">
        <v>91</v>
      </c>
      <c r="S81" s="12" t="s">
        <v>118</v>
      </c>
      <c r="T81" s="12" t="s">
        <v>151</v>
      </c>
    </row>
    <row r="82" spans="1:20" x14ac:dyDescent="0.25">
      <c r="A82" s="12"/>
      <c r="B82" s="12"/>
      <c r="C82" s="12"/>
      <c r="D82" s="12"/>
      <c r="E82" s="12"/>
      <c r="F82" s="12"/>
      <c r="G82" s="12"/>
      <c r="H82" s="12"/>
      <c r="I82" s="12" t="s">
        <v>329</v>
      </c>
      <c r="J82" s="13" t="s">
        <v>330</v>
      </c>
      <c r="K82" s="12" t="s">
        <v>54</v>
      </c>
      <c r="L82" s="12"/>
      <c r="M82" s="12"/>
      <c r="N82" s="12">
        <v>3</v>
      </c>
      <c r="O82" s="12"/>
      <c r="P82" s="12"/>
      <c r="Q82" s="12"/>
      <c r="R82" s="12" t="s">
        <v>91</v>
      </c>
      <c r="S82" s="12" t="s">
        <v>118</v>
      </c>
      <c r="T82" s="12" t="s">
        <v>151</v>
      </c>
    </row>
  </sheetData>
  <pageMargins left="0.7" right="0.7" top="0.75" bottom="0.75" header="0.51180555555555496" footer="0.3"/>
  <pageSetup paperSize="9" firstPageNumber="0" orientation="portrait" horizontalDpi="300" verticalDpi="300" r:id="rId1"/>
  <headerFooter>
    <oddFooter>&amp;C&amp;"Calibri"&amp;11&amp;K000000Confidential_x000D_x000D_&amp;1#&amp;"Calibri"&amp;10&amp;K000000Confidential / Internal Use Only</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K82"/>
  <sheetViews>
    <sheetView topLeftCell="J1" zoomScale="75" zoomScaleNormal="75" workbookViewId="0">
      <pane ySplit="1" topLeftCell="A2" activePane="bottomLeft" state="frozen"/>
      <selection activeCell="K1" sqref="K1"/>
      <selection pane="bottomLeft" activeCell="T13" sqref="T13"/>
    </sheetView>
  </sheetViews>
  <sheetFormatPr defaultRowHeight="15" x14ac:dyDescent="0.25"/>
  <cols>
    <col min="1" max="1" width="62.7109375" style="17" customWidth="1"/>
    <col min="2" max="2" width="14.5703125" style="14" customWidth="1"/>
    <col min="3" max="3" width="17.28515625" style="14" customWidth="1"/>
    <col min="4" max="4" width="11.140625" style="14" customWidth="1"/>
    <col min="5" max="5" width="10.7109375" style="14" customWidth="1"/>
    <col min="6" max="6" width="8.7109375" style="14" customWidth="1"/>
    <col min="7" max="7" width="7.140625" style="14" customWidth="1"/>
    <col min="8" max="8" width="7.28515625" style="14" customWidth="1"/>
    <col min="9" max="9" width="87.5703125" style="17" customWidth="1"/>
    <col min="10" max="10" width="18.42578125" style="14" customWidth="1"/>
    <col min="11" max="11" width="17.28515625" style="14" customWidth="1"/>
    <col min="12" max="12" width="8.7109375" style="14" hidden="1" customWidth="1"/>
    <col min="13" max="13" width="10.140625" style="14" customWidth="1"/>
    <col min="14" max="14" width="10.28515625" style="14" customWidth="1"/>
    <col min="15" max="15" width="7.28515625" style="14" customWidth="1"/>
    <col min="16" max="16" width="7.140625" style="14" customWidth="1"/>
    <col min="17" max="17" width="7.85546875" style="14" customWidth="1"/>
    <col min="18" max="18" width="16.140625" style="14" customWidth="1"/>
    <col min="19" max="19" width="37.7109375" style="14" customWidth="1"/>
    <col min="20" max="20" width="143.42578125" style="14" customWidth="1"/>
    <col min="21" max="1025" width="8.5703125" style="14" customWidth="1"/>
  </cols>
  <sheetData>
    <row r="1" spans="1:20" s="17" customFormat="1" ht="30" x14ac:dyDescent="0.25">
      <c r="A1" s="18" t="s">
        <v>12</v>
      </c>
      <c r="B1" s="18" t="s">
        <v>13</v>
      </c>
      <c r="C1" s="18" t="s">
        <v>14</v>
      </c>
      <c r="D1" s="18" t="s">
        <v>15</v>
      </c>
      <c r="E1" s="18" t="s">
        <v>16</v>
      </c>
      <c r="F1" s="18" t="s">
        <v>21</v>
      </c>
      <c r="G1" s="18" t="s">
        <v>17</v>
      </c>
      <c r="H1" s="18" t="s">
        <v>18</v>
      </c>
      <c r="I1" s="18" t="s">
        <v>19</v>
      </c>
      <c r="J1" s="18" t="s">
        <v>13</v>
      </c>
      <c r="K1" s="18" t="s">
        <v>14</v>
      </c>
      <c r="L1" s="18" t="s">
        <v>20</v>
      </c>
      <c r="M1" s="18" t="s">
        <v>15</v>
      </c>
      <c r="N1" s="18" t="s">
        <v>16</v>
      </c>
      <c r="O1" s="18" t="s">
        <v>21</v>
      </c>
      <c r="P1" s="18" t="s">
        <v>17</v>
      </c>
      <c r="Q1" s="18" t="s">
        <v>18</v>
      </c>
      <c r="R1" s="18" t="s">
        <v>22</v>
      </c>
      <c r="S1" s="18" t="s">
        <v>23</v>
      </c>
      <c r="T1" s="18" t="s">
        <v>24</v>
      </c>
    </row>
    <row r="2" spans="1:20" x14ac:dyDescent="0.25">
      <c r="A2" s="19" t="s">
        <v>25</v>
      </c>
      <c r="B2" s="20" t="s">
        <v>26</v>
      </c>
      <c r="C2" s="19" t="s">
        <v>27</v>
      </c>
      <c r="D2" s="19">
        <v>35</v>
      </c>
      <c r="E2" s="19"/>
      <c r="F2" s="19"/>
      <c r="G2" s="19">
        <v>1</v>
      </c>
      <c r="H2" s="19">
        <v>1</v>
      </c>
      <c r="I2" s="19" t="s">
        <v>28</v>
      </c>
      <c r="J2" s="20" t="s">
        <v>26</v>
      </c>
      <c r="K2" s="19" t="s">
        <v>27</v>
      </c>
      <c r="L2" s="19"/>
      <c r="M2" s="19">
        <v>35</v>
      </c>
      <c r="N2" s="19"/>
      <c r="O2" s="19"/>
      <c r="P2" s="19">
        <v>1</v>
      </c>
      <c r="Q2" s="19">
        <v>1</v>
      </c>
      <c r="R2" s="19"/>
      <c r="S2" s="19" t="s">
        <v>29</v>
      </c>
      <c r="T2" s="19" t="s">
        <v>29</v>
      </c>
    </row>
    <row r="3" spans="1:20" x14ac:dyDescent="0.25">
      <c r="A3" s="19" t="s">
        <v>30</v>
      </c>
      <c r="B3" s="20" t="s">
        <v>31</v>
      </c>
      <c r="C3" s="19" t="s">
        <v>32</v>
      </c>
      <c r="D3" s="19"/>
      <c r="E3" s="19"/>
      <c r="F3" s="19"/>
      <c r="G3" s="19">
        <v>1</v>
      </c>
      <c r="H3" s="19">
        <v>1</v>
      </c>
      <c r="I3" s="19" t="s">
        <v>33</v>
      </c>
      <c r="J3" s="20" t="s">
        <v>31</v>
      </c>
      <c r="K3" s="19" t="s">
        <v>32</v>
      </c>
      <c r="L3" s="19"/>
      <c r="M3" s="19"/>
      <c r="N3" s="19">
        <v>4</v>
      </c>
      <c r="O3" s="19"/>
      <c r="P3" s="19">
        <v>1</v>
      </c>
      <c r="Q3" s="19">
        <v>1</v>
      </c>
      <c r="R3" s="19"/>
      <c r="S3" s="19" t="s">
        <v>29</v>
      </c>
      <c r="T3" s="19" t="s">
        <v>29</v>
      </c>
    </row>
    <row r="4" spans="1:20" x14ac:dyDescent="0.25">
      <c r="A4" s="19" t="s">
        <v>34</v>
      </c>
      <c r="B4" s="20" t="s">
        <v>35</v>
      </c>
      <c r="C4" s="19" t="s">
        <v>36</v>
      </c>
      <c r="D4" s="19"/>
      <c r="E4" s="19">
        <v>19</v>
      </c>
      <c r="F4" s="19"/>
      <c r="G4" s="19">
        <v>1</v>
      </c>
      <c r="H4" s="19">
        <v>1</v>
      </c>
      <c r="I4" s="19" t="s">
        <v>37</v>
      </c>
      <c r="J4" s="20" t="s">
        <v>35</v>
      </c>
      <c r="K4" s="19" t="s">
        <v>36</v>
      </c>
      <c r="L4" s="19"/>
      <c r="M4" s="19"/>
      <c r="N4" s="19">
        <v>19</v>
      </c>
      <c r="O4" s="19"/>
      <c r="P4" s="19">
        <v>1</v>
      </c>
      <c r="Q4" s="19">
        <v>1</v>
      </c>
      <c r="R4" s="19"/>
      <c r="S4" s="19" t="s">
        <v>29</v>
      </c>
      <c r="T4" s="19" t="s">
        <v>29</v>
      </c>
    </row>
    <row r="5" spans="1:20" x14ac:dyDescent="0.25">
      <c r="A5" s="19" t="s">
        <v>38</v>
      </c>
      <c r="B5" s="20" t="s">
        <v>39</v>
      </c>
      <c r="C5" s="19" t="s">
        <v>40</v>
      </c>
      <c r="D5" s="19">
        <v>3</v>
      </c>
      <c r="E5" s="19"/>
      <c r="F5" s="19"/>
      <c r="G5" s="19">
        <v>1</v>
      </c>
      <c r="H5" s="19">
        <v>1</v>
      </c>
      <c r="I5" s="19" t="s">
        <v>41</v>
      </c>
      <c r="J5" s="20" t="s">
        <v>42</v>
      </c>
      <c r="K5" s="19" t="s">
        <v>40</v>
      </c>
      <c r="L5" s="19"/>
      <c r="M5" s="19">
        <v>3</v>
      </c>
      <c r="N5" s="19"/>
      <c r="O5" s="19"/>
      <c r="P5" s="19">
        <v>1</v>
      </c>
      <c r="Q5" s="19">
        <v>1</v>
      </c>
      <c r="R5" s="19"/>
      <c r="S5" s="19" t="s">
        <v>43</v>
      </c>
      <c r="T5" s="19" t="s">
        <v>29</v>
      </c>
    </row>
    <row r="6" spans="1:20" x14ac:dyDescent="0.25">
      <c r="A6" s="19" t="s">
        <v>44</v>
      </c>
      <c r="B6" s="20" t="s">
        <v>45</v>
      </c>
      <c r="C6" s="19" t="s">
        <v>46</v>
      </c>
      <c r="D6" s="19"/>
      <c r="E6" s="19">
        <v>1</v>
      </c>
      <c r="F6" s="19"/>
      <c r="G6" s="19">
        <v>1</v>
      </c>
      <c r="H6" s="19">
        <v>1</v>
      </c>
      <c r="I6" s="19" t="s">
        <v>47</v>
      </c>
      <c r="J6" s="20" t="s">
        <v>45</v>
      </c>
      <c r="K6" s="19" t="s">
        <v>46</v>
      </c>
      <c r="L6" s="19"/>
      <c r="M6" s="19"/>
      <c r="N6" s="19">
        <v>1</v>
      </c>
      <c r="O6" s="19"/>
      <c r="P6" s="19">
        <v>1</v>
      </c>
      <c r="Q6" s="19">
        <v>1</v>
      </c>
      <c r="R6" s="19"/>
      <c r="S6" s="19" t="s">
        <v>29</v>
      </c>
      <c r="T6" s="19" t="s">
        <v>29</v>
      </c>
    </row>
    <row r="7" spans="1:20" x14ac:dyDescent="0.25">
      <c r="A7" s="19" t="s">
        <v>48</v>
      </c>
      <c r="B7" s="20" t="s">
        <v>49</v>
      </c>
      <c r="C7" s="19" t="s">
        <v>50</v>
      </c>
      <c r="D7" s="19"/>
      <c r="E7" s="19"/>
      <c r="F7" s="19">
        <v>18</v>
      </c>
      <c r="G7" s="19">
        <v>1</v>
      </c>
      <c r="H7" s="19">
        <v>1</v>
      </c>
      <c r="I7" s="19" t="s">
        <v>51</v>
      </c>
      <c r="J7" s="20" t="s">
        <v>49</v>
      </c>
      <c r="K7" s="19" t="s">
        <v>50</v>
      </c>
      <c r="L7" s="19"/>
      <c r="M7" s="19"/>
      <c r="N7" s="19"/>
      <c r="O7" s="19">
        <v>18</v>
      </c>
      <c r="P7" s="19">
        <v>1</v>
      </c>
      <c r="Q7" s="19">
        <v>1</v>
      </c>
      <c r="R7" s="19"/>
      <c r="S7" s="19" t="s">
        <v>29</v>
      </c>
      <c r="T7" s="19" t="s">
        <v>29</v>
      </c>
    </row>
    <row r="8" spans="1:20" x14ac:dyDescent="0.25">
      <c r="A8" s="19" t="s">
        <v>52</v>
      </c>
      <c r="B8" s="20" t="s">
        <v>53</v>
      </c>
      <c r="C8" s="19" t="s">
        <v>54</v>
      </c>
      <c r="D8" s="19"/>
      <c r="E8" s="19"/>
      <c r="F8" s="19"/>
      <c r="G8" s="19"/>
      <c r="H8" s="19"/>
      <c r="I8" s="19" t="s">
        <v>55</v>
      </c>
      <c r="J8" s="20" t="s">
        <v>53</v>
      </c>
      <c r="K8" s="19" t="s">
        <v>54</v>
      </c>
      <c r="L8" s="19"/>
      <c r="M8" s="19"/>
      <c r="N8" s="19">
        <v>3</v>
      </c>
      <c r="O8" s="19"/>
      <c r="P8" s="19"/>
      <c r="Q8" s="19"/>
      <c r="R8" s="19"/>
      <c r="S8" s="19" t="s">
        <v>29</v>
      </c>
      <c r="T8" s="19" t="s">
        <v>29</v>
      </c>
    </row>
    <row r="9" spans="1:20" x14ac:dyDescent="0.25">
      <c r="A9" s="19" t="s">
        <v>56</v>
      </c>
      <c r="B9" s="20" t="s">
        <v>57</v>
      </c>
      <c r="C9" s="19" t="s">
        <v>58</v>
      </c>
      <c r="D9" s="19"/>
      <c r="E9" s="19">
        <v>10</v>
      </c>
      <c r="F9" s="19"/>
      <c r="G9" s="19">
        <v>1</v>
      </c>
      <c r="H9" s="19">
        <v>1</v>
      </c>
      <c r="I9" s="19" t="s">
        <v>59</v>
      </c>
      <c r="J9" s="20" t="s">
        <v>57</v>
      </c>
      <c r="K9" s="19" t="s">
        <v>58</v>
      </c>
      <c r="L9" s="19"/>
      <c r="M9" s="19"/>
      <c r="N9" s="19">
        <v>10</v>
      </c>
      <c r="O9" s="19"/>
      <c r="P9" s="19">
        <v>1</v>
      </c>
      <c r="Q9" s="19">
        <v>1</v>
      </c>
      <c r="R9" s="19"/>
      <c r="S9" s="19" t="s">
        <v>60</v>
      </c>
      <c r="T9" s="19" t="s">
        <v>61</v>
      </c>
    </row>
    <row r="10" spans="1:20" x14ac:dyDescent="0.25">
      <c r="A10" s="19" t="s">
        <v>62</v>
      </c>
      <c r="B10" s="20" t="s">
        <v>63</v>
      </c>
      <c r="C10" s="19" t="s">
        <v>64</v>
      </c>
      <c r="D10" s="19">
        <v>35</v>
      </c>
      <c r="E10" s="19"/>
      <c r="F10" s="19"/>
      <c r="G10" s="19">
        <v>1</v>
      </c>
      <c r="H10" s="19">
        <v>1</v>
      </c>
      <c r="I10" s="19" t="s">
        <v>65</v>
      </c>
      <c r="J10" s="20" t="s">
        <v>63</v>
      </c>
      <c r="K10" s="19" t="s">
        <v>64</v>
      </c>
      <c r="L10" s="19"/>
      <c r="M10" s="19">
        <v>35</v>
      </c>
      <c r="N10" s="19"/>
      <c r="O10" s="19"/>
      <c r="P10" s="19">
        <v>1</v>
      </c>
      <c r="Q10" s="19">
        <v>1</v>
      </c>
      <c r="R10" s="19"/>
      <c r="S10" s="19" t="s">
        <v>29</v>
      </c>
      <c r="T10" s="19" t="s">
        <v>29</v>
      </c>
    </row>
    <row r="11" spans="1:20" x14ac:dyDescent="0.25">
      <c r="A11" s="19" t="s">
        <v>66</v>
      </c>
      <c r="B11" s="20" t="s">
        <v>67</v>
      </c>
      <c r="C11" s="19" t="s">
        <v>68</v>
      </c>
      <c r="D11" s="19">
        <v>35</v>
      </c>
      <c r="E11" s="19"/>
      <c r="F11" s="19"/>
      <c r="G11" s="19">
        <v>1</v>
      </c>
      <c r="H11" s="19">
        <v>1</v>
      </c>
      <c r="I11" s="19" t="s">
        <v>69</v>
      </c>
      <c r="J11" s="20" t="s">
        <v>67</v>
      </c>
      <c r="K11" s="19" t="s">
        <v>68</v>
      </c>
      <c r="L11" s="19"/>
      <c r="M11" s="19">
        <v>35</v>
      </c>
      <c r="N11" s="19"/>
      <c r="O11" s="19"/>
      <c r="P11" s="19">
        <v>1</v>
      </c>
      <c r="Q11" s="19">
        <v>1</v>
      </c>
      <c r="R11" s="19"/>
      <c r="S11" s="19" t="s">
        <v>29</v>
      </c>
      <c r="T11" s="19" t="s">
        <v>29</v>
      </c>
    </row>
    <row r="12" spans="1:20" x14ac:dyDescent="0.25">
      <c r="A12" s="19" t="s">
        <v>70</v>
      </c>
      <c r="B12" s="20" t="s">
        <v>71</v>
      </c>
      <c r="C12" s="19" t="s">
        <v>72</v>
      </c>
      <c r="D12" s="19">
        <v>35</v>
      </c>
      <c r="E12" s="19"/>
      <c r="F12" s="19"/>
      <c r="G12" s="19">
        <v>1</v>
      </c>
      <c r="H12" s="19">
        <v>1</v>
      </c>
      <c r="I12" s="19" t="s">
        <v>73</v>
      </c>
      <c r="J12" s="20" t="s">
        <v>71</v>
      </c>
      <c r="K12" s="19" t="s">
        <v>72</v>
      </c>
      <c r="L12" s="19"/>
      <c r="M12" s="19">
        <v>35</v>
      </c>
      <c r="N12" s="19"/>
      <c r="O12" s="19"/>
      <c r="P12" s="19">
        <v>1</v>
      </c>
      <c r="Q12" s="19">
        <v>1</v>
      </c>
      <c r="R12" s="19"/>
      <c r="S12" s="19" t="s">
        <v>29</v>
      </c>
      <c r="T12" s="19" t="s">
        <v>29</v>
      </c>
    </row>
    <row r="13" spans="1:20" x14ac:dyDescent="0.25">
      <c r="A13" s="19" t="s">
        <v>74</v>
      </c>
      <c r="B13" s="20" t="s">
        <v>75</v>
      </c>
      <c r="C13" s="19" t="s">
        <v>76</v>
      </c>
      <c r="D13" s="19">
        <v>35</v>
      </c>
      <c r="E13" s="19"/>
      <c r="F13" s="19"/>
      <c r="G13" s="19">
        <v>0</v>
      </c>
      <c r="H13" s="19">
        <v>1</v>
      </c>
      <c r="I13" s="19" t="s">
        <v>77</v>
      </c>
      <c r="J13" s="20" t="s">
        <v>78</v>
      </c>
      <c r="K13" s="19" t="s">
        <v>76</v>
      </c>
      <c r="L13" s="19"/>
      <c r="M13" s="19">
        <v>35</v>
      </c>
      <c r="N13" s="19"/>
      <c r="O13" s="19"/>
      <c r="P13" s="19">
        <v>0</v>
      </c>
      <c r="Q13" s="19">
        <v>1</v>
      </c>
      <c r="R13" s="19"/>
      <c r="S13" s="117" t="s">
        <v>61</v>
      </c>
      <c r="T13" s="117" t="s">
        <v>61</v>
      </c>
    </row>
    <row r="14" spans="1:20" x14ac:dyDescent="0.25">
      <c r="A14" s="19" t="s">
        <v>79</v>
      </c>
      <c r="B14" s="20" t="s">
        <v>80</v>
      </c>
      <c r="C14" s="19" t="s">
        <v>40</v>
      </c>
      <c r="D14" s="19">
        <v>4</v>
      </c>
      <c r="E14" s="19"/>
      <c r="F14" s="19"/>
      <c r="G14" s="19">
        <v>1</v>
      </c>
      <c r="H14" s="19">
        <v>1</v>
      </c>
      <c r="I14" s="19" t="s">
        <v>81</v>
      </c>
      <c r="J14" s="20" t="s">
        <v>82</v>
      </c>
      <c r="K14" s="19" t="s">
        <v>40</v>
      </c>
      <c r="L14" s="19"/>
      <c r="M14" s="19">
        <v>4</v>
      </c>
      <c r="N14" s="19"/>
      <c r="O14" s="19"/>
      <c r="P14" s="19">
        <v>1</v>
      </c>
      <c r="Q14" s="19">
        <v>1</v>
      </c>
      <c r="R14" s="19"/>
      <c r="S14" s="19" t="s">
        <v>29</v>
      </c>
      <c r="T14" s="19" t="s">
        <v>29</v>
      </c>
    </row>
    <row r="15" spans="1:20" x14ac:dyDescent="0.25">
      <c r="A15" s="19" t="s">
        <v>83</v>
      </c>
      <c r="B15" s="20" t="s">
        <v>84</v>
      </c>
      <c r="C15" s="19" t="s">
        <v>85</v>
      </c>
      <c r="D15" s="19">
        <v>35</v>
      </c>
      <c r="E15" s="19"/>
      <c r="F15" s="19"/>
      <c r="G15" s="19">
        <v>1</v>
      </c>
      <c r="H15" s="19">
        <v>1</v>
      </c>
      <c r="I15" s="19" t="s">
        <v>86</v>
      </c>
      <c r="J15" s="20" t="s">
        <v>87</v>
      </c>
      <c r="K15" s="19" t="s">
        <v>85</v>
      </c>
      <c r="L15" s="19"/>
      <c r="M15" s="19">
        <v>35</v>
      </c>
      <c r="N15" s="19"/>
      <c r="O15" s="19"/>
      <c r="P15" s="19">
        <v>1</v>
      </c>
      <c r="Q15" s="19">
        <v>1</v>
      </c>
      <c r="R15" s="19"/>
      <c r="S15" s="19" t="s">
        <v>331</v>
      </c>
      <c r="T15" s="19" t="s">
        <v>331</v>
      </c>
    </row>
    <row r="16" spans="1:20" x14ac:dyDescent="0.25">
      <c r="A16" s="21"/>
      <c r="B16" s="21"/>
      <c r="C16" s="21"/>
      <c r="D16" s="21"/>
      <c r="E16" s="21"/>
      <c r="F16" s="21"/>
      <c r="G16" s="21"/>
      <c r="H16" s="21"/>
      <c r="I16" s="21" t="s">
        <v>89</v>
      </c>
      <c r="J16" s="22" t="s">
        <v>90</v>
      </c>
      <c r="K16" s="21" t="s">
        <v>85</v>
      </c>
      <c r="L16" s="21"/>
      <c r="M16" s="21">
        <v>35</v>
      </c>
      <c r="N16" s="21"/>
      <c r="O16" s="21"/>
      <c r="P16" s="21">
        <v>1</v>
      </c>
      <c r="Q16" s="21">
        <v>1</v>
      </c>
      <c r="R16" s="21" t="s">
        <v>91</v>
      </c>
      <c r="S16" s="21" t="s">
        <v>332</v>
      </c>
      <c r="T16" s="21" t="s">
        <v>151</v>
      </c>
    </row>
    <row r="17" spans="1:20" x14ac:dyDescent="0.25">
      <c r="A17" s="19" t="s">
        <v>92</v>
      </c>
      <c r="B17" s="20" t="s">
        <v>90</v>
      </c>
      <c r="C17" s="19" t="s">
        <v>93</v>
      </c>
      <c r="D17" s="19"/>
      <c r="E17" s="19"/>
      <c r="F17" s="19">
        <v>18</v>
      </c>
      <c r="G17" s="19">
        <v>1</v>
      </c>
      <c r="H17" s="19">
        <v>1</v>
      </c>
      <c r="I17" s="19" t="s">
        <v>94</v>
      </c>
      <c r="J17" s="20" t="s">
        <v>95</v>
      </c>
      <c r="K17" s="19" t="s">
        <v>93</v>
      </c>
      <c r="L17" s="19"/>
      <c r="M17" s="19"/>
      <c r="N17" s="19"/>
      <c r="O17" s="19">
        <v>18</v>
      </c>
      <c r="P17" s="19">
        <v>1</v>
      </c>
      <c r="Q17" s="19">
        <v>1</v>
      </c>
      <c r="R17" s="19"/>
      <c r="S17" s="19" t="s">
        <v>29</v>
      </c>
      <c r="T17" s="19" t="s">
        <v>29</v>
      </c>
    </row>
    <row r="18" spans="1:20" x14ac:dyDescent="0.25">
      <c r="A18" s="19" t="s">
        <v>96</v>
      </c>
      <c r="B18" s="20" t="s">
        <v>95</v>
      </c>
      <c r="C18" s="19" t="s">
        <v>54</v>
      </c>
      <c r="D18" s="19"/>
      <c r="E18" s="19"/>
      <c r="F18" s="19"/>
      <c r="G18" s="19"/>
      <c r="H18" s="19"/>
      <c r="I18" s="19" t="s">
        <v>97</v>
      </c>
      <c r="J18" s="20" t="s">
        <v>98</v>
      </c>
      <c r="K18" s="19" t="s">
        <v>54</v>
      </c>
      <c r="L18" s="19"/>
      <c r="M18" s="19"/>
      <c r="N18" s="19">
        <v>3</v>
      </c>
      <c r="O18" s="19"/>
      <c r="P18" s="19"/>
      <c r="Q18" s="19"/>
      <c r="R18" s="19"/>
      <c r="S18" s="19" t="s">
        <v>29</v>
      </c>
      <c r="T18" s="19" t="s">
        <v>29</v>
      </c>
    </row>
    <row r="19" spans="1:20" x14ac:dyDescent="0.25">
      <c r="A19" s="19" t="s">
        <v>99</v>
      </c>
      <c r="B19" s="20" t="s">
        <v>100</v>
      </c>
      <c r="C19" s="19" t="s">
        <v>101</v>
      </c>
      <c r="D19" s="19"/>
      <c r="E19" s="19"/>
      <c r="F19" s="19"/>
      <c r="G19" s="19">
        <v>1</v>
      </c>
      <c r="H19" s="19">
        <v>1</v>
      </c>
      <c r="I19" s="19" t="s">
        <v>102</v>
      </c>
      <c r="J19" s="20" t="s">
        <v>103</v>
      </c>
      <c r="K19" s="19" t="s">
        <v>101</v>
      </c>
      <c r="L19" s="19"/>
      <c r="M19" s="19"/>
      <c r="N19" s="19">
        <v>4</v>
      </c>
      <c r="O19" s="19"/>
      <c r="P19" s="19">
        <v>1</v>
      </c>
      <c r="Q19" s="19">
        <v>1</v>
      </c>
      <c r="R19" s="19"/>
      <c r="S19" s="19" t="s">
        <v>29</v>
      </c>
      <c r="T19" s="19" t="s">
        <v>29</v>
      </c>
    </row>
    <row r="20" spans="1:20" x14ac:dyDescent="0.25">
      <c r="A20" s="19" t="s">
        <v>104</v>
      </c>
      <c r="B20" s="20" t="s">
        <v>105</v>
      </c>
      <c r="C20" s="19" t="s">
        <v>106</v>
      </c>
      <c r="D20" s="19">
        <v>9</v>
      </c>
      <c r="E20" s="19"/>
      <c r="F20" s="19"/>
      <c r="G20" s="19">
        <v>1</v>
      </c>
      <c r="H20" s="19">
        <v>1</v>
      </c>
      <c r="I20" s="19" t="s">
        <v>107</v>
      </c>
      <c r="J20" s="20" t="s">
        <v>108</v>
      </c>
      <c r="K20" s="19" t="s">
        <v>106</v>
      </c>
      <c r="L20" s="19"/>
      <c r="M20" s="19">
        <v>9</v>
      </c>
      <c r="N20" s="19"/>
      <c r="O20" s="19"/>
      <c r="P20" s="19">
        <v>1</v>
      </c>
      <c r="Q20" s="19">
        <v>1</v>
      </c>
      <c r="R20" s="19"/>
      <c r="S20" s="19" t="s">
        <v>29</v>
      </c>
      <c r="T20" s="19" t="s">
        <v>29</v>
      </c>
    </row>
    <row r="21" spans="1:20" x14ac:dyDescent="0.25">
      <c r="A21" s="19" t="s">
        <v>110</v>
      </c>
      <c r="B21" s="20" t="s">
        <v>111</v>
      </c>
      <c r="C21" s="19" t="s">
        <v>106</v>
      </c>
      <c r="D21" s="19">
        <v>9</v>
      </c>
      <c r="E21" s="19"/>
      <c r="F21" s="19"/>
      <c r="G21" s="19">
        <v>1</v>
      </c>
      <c r="H21" s="19">
        <v>1</v>
      </c>
      <c r="I21" s="19" t="s">
        <v>112</v>
      </c>
      <c r="J21" s="20" t="s">
        <v>113</v>
      </c>
      <c r="K21" s="19" t="s">
        <v>106</v>
      </c>
      <c r="L21" s="19"/>
      <c r="M21" s="19">
        <v>9</v>
      </c>
      <c r="N21" s="19"/>
      <c r="O21" s="19"/>
      <c r="P21" s="19">
        <v>1</v>
      </c>
      <c r="Q21" s="19">
        <v>1</v>
      </c>
      <c r="R21" s="19"/>
      <c r="S21" s="19" t="s">
        <v>29</v>
      </c>
      <c r="T21" s="19" t="s">
        <v>29</v>
      </c>
    </row>
    <row r="22" spans="1:20" x14ac:dyDescent="0.25">
      <c r="A22" s="23"/>
      <c r="B22" s="23"/>
      <c r="C22" s="23"/>
      <c r="D22" s="23"/>
      <c r="E22" s="23"/>
      <c r="F22" s="23"/>
      <c r="G22" s="23"/>
      <c r="H22" s="23"/>
      <c r="I22" s="23" t="s">
        <v>115</v>
      </c>
      <c r="J22" s="24" t="s">
        <v>116</v>
      </c>
      <c r="K22" s="23" t="s">
        <v>117</v>
      </c>
      <c r="L22" s="23"/>
      <c r="M22" s="23">
        <v>140</v>
      </c>
      <c r="N22" s="23"/>
      <c r="O22" s="23"/>
      <c r="P22" s="23">
        <v>1</v>
      </c>
      <c r="Q22" s="23">
        <v>1</v>
      </c>
      <c r="R22" s="23" t="s">
        <v>91</v>
      </c>
      <c r="S22" s="23" t="s">
        <v>118</v>
      </c>
      <c r="T22" s="23" t="s">
        <v>118</v>
      </c>
    </row>
    <row r="23" spans="1:20" x14ac:dyDescent="0.25">
      <c r="A23" s="23"/>
      <c r="B23" s="23"/>
      <c r="C23" s="23"/>
      <c r="D23" s="23"/>
      <c r="E23" s="23"/>
      <c r="F23" s="23"/>
      <c r="G23" s="23"/>
      <c r="H23" s="23"/>
      <c r="I23" s="23" t="s">
        <v>120</v>
      </c>
      <c r="J23" s="24" t="s">
        <v>121</v>
      </c>
      <c r="K23" s="23" t="s">
        <v>122</v>
      </c>
      <c r="L23" s="23"/>
      <c r="M23" s="23">
        <v>70</v>
      </c>
      <c r="N23" s="23"/>
      <c r="O23" s="23"/>
      <c r="P23" s="23">
        <v>1</v>
      </c>
      <c r="Q23" s="23">
        <v>1</v>
      </c>
      <c r="R23" s="23" t="s">
        <v>91</v>
      </c>
      <c r="S23" s="23" t="s">
        <v>118</v>
      </c>
      <c r="T23" s="23" t="s">
        <v>118</v>
      </c>
    </row>
    <row r="24" spans="1:20" x14ac:dyDescent="0.25">
      <c r="A24" s="23"/>
      <c r="B24" s="23"/>
      <c r="C24" s="23"/>
      <c r="D24" s="23"/>
      <c r="E24" s="23"/>
      <c r="F24" s="23"/>
      <c r="G24" s="23"/>
      <c r="H24" s="23"/>
      <c r="I24" s="23" t="s">
        <v>124</v>
      </c>
      <c r="J24" s="24" t="s">
        <v>125</v>
      </c>
      <c r="K24" s="23" t="s">
        <v>126</v>
      </c>
      <c r="L24" s="23"/>
      <c r="M24" s="23">
        <v>16</v>
      </c>
      <c r="N24" s="23"/>
      <c r="O24" s="23"/>
      <c r="P24" s="23">
        <v>0</v>
      </c>
      <c r="Q24" s="23">
        <v>1</v>
      </c>
      <c r="R24" s="23" t="s">
        <v>91</v>
      </c>
      <c r="S24" s="23" t="s">
        <v>118</v>
      </c>
      <c r="T24" s="23" t="s">
        <v>118</v>
      </c>
    </row>
    <row r="25" spans="1:20" x14ac:dyDescent="0.25">
      <c r="A25" s="23"/>
      <c r="B25" s="23"/>
      <c r="C25" s="23"/>
      <c r="D25" s="23"/>
      <c r="E25" s="23"/>
      <c r="F25" s="23"/>
      <c r="G25" s="23"/>
      <c r="H25" s="23"/>
      <c r="I25" s="23" t="s">
        <v>127</v>
      </c>
      <c r="J25" s="24" t="s">
        <v>128</v>
      </c>
      <c r="K25" s="23" t="s">
        <v>129</v>
      </c>
      <c r="L25" s="23"/>
      <c r="M25" s="23">
        <v>16</v>
      </c>
      <c r="N25" s="23"/>
      <c r="O25" s="23"/>
      <c r="P25" s="23">
        <v>1</v>
      </c>
      <c r="Q25" s="23">
        <v>1</v>
      </c>
      <c r="R25" s="23" t="s">
        <v>91</v>
      </c>
      <c r="S25" s="23" t="s">
        <v>118</v>
      </c>
      <c r="T25" s="23" t="s">
        <v>118</v>
      </c>
    </row>
    <row r="26" spans="1:20" x14ac:dyDescent="0.25">
      <c r="A26" s="23"/>
      <c r="B26" s="23"/>
      <c r="C26" s="23"/>
      <c r="D26" s="23"/>
      <c r="E26" s="23"/>
      <c r="F26" s="23"/>
      <c r="G26" s="23"/>
      <c r="H26" s="23"/>
      <c r="I26" s="23" t="s">
        <v>130</v>
      </c>
      <c r="J26" s="24" t="s">
        <v>131</v>
      </c>
      <c r="K26" s="23" t="s">
        <v>132</v>
      </c>
      <c r="L26" s="23"/>
      <c r="M26" s="23">
        <v>35</v>
      </c>
      <c r="N26" s="23"/>
      <c r="O26" s="23"/>
      <c r="P26" s="23">
        <v>1</v>
      </c>
      <c r="Q26" s="23">
        <v>1</v>
      </c>
      <c r="R26" s="23" t="s">
        <v>91</v>
      </c>
      <c r="S26" s="23" t="s">
        <v>118</v>
      </c>
      <c r="T26" s="23" t="s">
        <v>118</v>
      </c>
    </row>
    <row r="27" spans="1:20" x14ac:dyDescent="0.25">
      <c r="A27" s="23"/>
      <c r="B27" s="23"/>
      <c r="C27" s="23"/>
      <c r="D27" s="23"/>
      <c r="E27" s="23"/>
      <c r="F27" s="23"/>
      <c r="G27" s="23"/>
      <c r="H27" s="23"/>
      <c r="I27" s="23" t="s">
        <v>133</v>
      </c>
      <c r="J27" s="24" t="s">
        <v>134</v>
      </c>
      <c r="K27" s="23" t="s">
        <v>135</v>
      </c>
      <c r="L27" s="23"/>
      <c r="M27" s="23">
        <v>35</v>
      </c>
      <c r="N27" s="23"/>
      <c r="O27" s="23"/>
      <c r="P27" s="23">
        <v>1</v>
      </c>
      <c r="Q27" s="23">
        <v>1</v>
      </c>
      <c r="R27" s="23" t="s">
        <v>91</v>
      </c>
      <c r="S27" s="23" t="str">
        <f>IF(R27="NEW ELEMENT","N/A", check)</f>
        <v>N/A</v>
      </c>
      <c r="T27" s="23" t="s">
        <v>118</v>
      </c>
    </row>
    <row r="28" spans="1:20" x14ac:dyDescent="0.25">
      <c r="A28" s="23"/>
      <c r="B28" s="23"/>
      <c r="C28" s="23"/>
      <c r="D28" s="23"/>
      <c r="E28" s="23"/>
      <c r="F28" s="23"/>
      <c r="G28" s="23"/>
      <c r="H28" s="23"/>
      <c r="I28" s="23" t="s">
        <v>136</v>
      </c>
      <c r="J28" s="24" t="s">
        <v>137</v>
      </c>
      <c r="K28" s="23" t="s">
        <v>138</v>
      </c>
      <c r="L28" s="23"/>
      <c r="M28" s="23"/>
      <c r="N28" s="23">
        <v>2</v>
      </c>
      <c r="O28" s="23"/>
      <c r="P28" s="23">
        <v>1</v>
      </c>
      <c r="Q28" s="23">
        <v>1</v>
      </c>
      <c r="R28" s="23" t="s">
        <v>91</v>
      </c>
      <c r="S28" s="23" t="str">
        <f>IF(R28="NEW ELEMENT","N/A", check)</f>
        <v>N/A</v>
      </c>
      <c r="T28" s="23" t="s">
        <v>118</v>
      </c>
    </row>
    <row r="29" spans="1:20" x14ac:dyDescent="0.25">
      <c r="A29" s="23"/>
      <c r="B29" s="23"/>
      <c r="C29" s="23"/>
      <c r="D29" s="23"/>
      <c r="E29" s="23"/>
      <c r="F29" s="23"/>
      <c r="G29" s="23"/>
      <c r="H29" s="23"/>
      <c r="I29" s="23" t="s">
        <v>139</v>
      </c>
      <c r="J29" s="24" t="s">
        <v>140</v>
      </c>
      <c r="K29" s="23" t="s">
        <v>141</v>
      </c>
      <c r="L29" s="23"/>
      <c r="M29" s="23">
        <v>70</v>
      </c>
      <c r="N29" s="23"/>
      <c r="O29" s="23"/>
      <c r="P29" s="23">
        <v>0</v>
      </c>
      <c r="Q29" s="23">
        <v>1</v>
      </c>
      <c r="R29" s="23" t="s">
        <v>91</v>
      </c>
      <c r="S29" s="23" t="str">
        <f>IF(R29="NEW ELEMENT","N/A", check)</f>
        <v>N/A</v>
      </c>
      <c r="T29" s="23" t="s">
        <v>118</v>
      </c>
    </row>
    <row r="30" spans="1:20" x14ac:dyDescent="0.25">
      <c r="A30" s="23"/>
      <c r="B30" s="23"/>
      <c r="C30" s="23"/>
      <c r="D30" s="23"/>
      <c r="E30" s="23"/>
      <c r="F30" s="23"/>
      <c r="G30" s="23"/>
      <c r="H30" s="23"/>
      <c r="I30" s="23" t="s">
        <v>142</v>
      </c>
      <c r="J30" s="24" t="s">
        <v>143</v>
      </c>
      <c r="K30" s="23" t="s">
        <v>144</v>
      </c>
      <c r="L30" s="23"/>
      <c r="M30" s="23"/>
      <c r="N30" s="23"/>
      <c r="O30" s="23"/>
      <c r="P30" s="23">
        <v>1</v>
      </c>
      <c r="Q30" s="23">
        <v>1</v>
      </c>
      <c r="R30" s="23" t="s">
        <v>91</v>
      </c>
      <c r="S30" s="23" t="str">
        <f>IF(R30="NEW ELEMENT","N/A", check)</f>
        <v>N/A</v>
      </c>
      <c r="T30" s="23" t="s">
        <v>118</v>
      </c>
    </row>
    <row r="31" spans="1:20" x14ac:dyDescent="0.25">
      <c r="A31" s="23"/>
      <c r="B31" s="23"/>
      <c r="C31" s="23"/>
      <c r="D31" s="23"/>
      <c r="E31" s="23"/>
      <c r="F31" s="23"/>
      <c r="G31" s="23"/>
      <c r="H31" s="23"/>
      <c r="I31" s="23" t="s">
        <v>146</v>
      </c>
      <c r="J31" s="24" t="s">
        <v>147</v>
      </c>
      <c r="K31" s="23" t="s">
        <v>148</v>
      </c>
      <c r="L31" s="23"/>
      <c r="M31" s="23">
        <v>35</v>
      </c>
      <c r="N31" s="23"/>
      <c r="O31" s="23"/>
      <c r="P31" s="23">
        <v>1</v>
      </c>
      <c r="Q31" s="23">
        <v>1</v>
      </c>
      <c r="R31" s="23" t="s">
        <v>91</v>
      </c>
      <c r="S31" s="23" t="str">
        <f>IF(R31="NEW ELEMENT","N/A", check)</f>
        <v>N/A</v>
      </c>
      <c r="T31" s="23" t="s">
        <v>118</v>
      </c>
    </row>
    <row r="32" spans="1:20" x14ac:dyDescent="0.25">
      <c r="A32" s="21"/>
      <c r="B32" s="21"/>
      <c r="C32" s="21"/>
      <c r="D32" s="21"/>
      <c r="E32" s="21"/>
      <c r="F32" s="21"/>
      <c r="G32" s="21"/>
      <c r="H32" s="21"/>
      <c r="I32" s="21" t="s">
        <v>149</v>
      </c>
      <c r="J32" s="22" t="s">
        <v>150</v>
      </c>
      <c r="K32" s="21" t="s">
        <v>117</v>
      </c>
      <c r="L32" s="21"/>
      <c r="M32" s="21">
        <v>140</v>
      </c>
      <c r="N32" s="21"/>
      <c r="O32" s="21"/>
      <c r="P32" s="21">
        <v>0</v>
      </c>
      <c r="Q32" s="21">
        <v>1</v>
      </c>
      <c r="R32" s="21" t="s">
        <v>91</v>
      </c>
      <c r="S32" s="21" t="s">
        <v>118</v>
      </c>
      <c r="T32" s="21" t="s">
        <v>333</v>
      </c>
    </row>
    <row r="33" spans="1:20" x14ac:dyDescent="0.25">
      <c r="A33" s="19" t="s">
        <v>152</v>
      </c>
      <c r="B33" s="20" t="s">
        <v>153</v>
      </c>
      <c r="C33" s="19" t="s">
        <v>117</v>
      </c>
      <c r="D33" s="19">
        <v>140</v>
      </c>
      <c r="E33" s="19"/>
      <c r="F33" s="19"/>
      <c r="G33" s="19">
        <v>1</v>
      </c>
      <c r="H33" s="19">
        <v>1</v>
      </c>
      <c r="I33" s="19" t="s">
        <v>154</v>
      </c>
      <c r="J33" s="20" t="s">
        <v>155</v>
      </c>
      <c r="K33" s="19" t="s">
        <v>117</v>
      </c>
      <c r="L33" s="19"/>
      <c r="M33" s="19">
        <v>140</v>
      </c>
      <c r="N33" s="19"/>
      <c r="O33" s="19"/>
      <c r="P33" s="19">
        <v>1</v>
      </c>
      <c r="Q33" s="19">
        <v>1</v>
      </c>
      <c r="R33" s="19"/>
      <c r="S33" s="19" t="s">
        <v>29</v>
      </c>
      <c r="T33" s="19" t="s">
        <v>29</v>
      </c>
    </row>
    <row r="34" spans="1:20" x14ac:dyDescent="0.25">
      <c r="A34" s="19" t="s">
        <v>157</v>
      </c>
      <c r="B34" s="20" t="s">
        <v>158</v>
      </c>
      <c r="C34" s="19" t="s">
        <v>122</v>
      </c>
      <c r="D34" s="19">
        <v>70</v>
      </c>
      <c r="E34" s="19"/>
      <c r="F34" s="19"/>
      <c r="G34" s="19">
        <v>1</v>
      </c>
      <c r="H34" s="19">
        <v>1</v>
      </c>
      <c r="I34" s="19" t="s">
        <v>159</v>
      </c>
      <c r="J34" s="20" t="s">
        <v>160</v>
      </c>
      <c r="K34" s="19" t="s">
        <v>122</v>
      </c>
      <c r="L34" s="19"/>
      <c r="M34" s="19">
        <v>70</v>
      </c>
      <c r="N34" s="19"/>
      <c r="O34" s="19"/>
      <c r="P34" s="19">
        <v>1</v>
      </c>
      <c r="Q34" s="19">
        <v>1</v>
      </c>
      <c r="R34" s="19"/>
      <c r="S34" s="19" t="s">
        <v>29</v>
      </c>
      <c r="T34" s="19" t="s">
        <v>29</v>
      </c>
    </row>
    <row r="35" spans="1:20" x14ac:dyDescent="0.25">
      <c r="A35" s="19" t="s">
        <v>161</v>
      </c>
      <c r="B35" s="20" t="s">
        <v>162</v>
      </c>
      <c r="C35" s="19" t="s">
        <v>126</v>
      </c>
      <c r="D35" s="19">
        <v>16</v>
      </c>
      <c r="E35" s="19"/>
      <c r="F35" s="19"/>
      <c r="G35" s="19">
        <v>0</v>
      </c>
      <c r="H35" s="19">
        <v>1</v>
      </c>
      <c r="I35" s="19" t="s">
        <v>163</v>
      </c>
      <c r="J35" s="20" t="s">
        <v>164</v>
      </c>
      <c r="K35" s="19" t="s">
        <v>126</v>
      </c>
      <c r="L35" s="19"/>
      <c r="M35" s="19">
        <v>16</v>
      </c>
      <c r="N35" s="19"/>
      <c r="O35" s="19"/>
      <c r="P35" s="19">
        <v>0</v>
      </c>
      <c r="Q35" s="19">
        <v>1</v>
      </c>
      <c r="R35" s="19"/>
      <c r="S35" s="19" t="s">
        <v>29</v>
      </c>
      <c r="T35" s="19" t="s">
        <v>29</v>
      </c>
    </row>
    <row r="36" spans="1:20" x14ac:dyDescent="0.25">
      <c r="A36" s="19" t="s">
        <v>165</v>
      </c>
      <c r="B36" s="20" t="s">
        <v>166</v>
      </c>
      <c r="C36" s="19" t="s">
        <v>129</v>
      </c>
      <c r="D36" s="19">
        <v>16</v>
      </c>
      <c r="E36" s="19"/>
      <c r="F36" s="19"/>
      <c r="G36" s="19">
        <v>1</v>
      </c>
      <c r="H36" s="19">
        <v>1</v>
      </c>
      <c r="I36" s="19" t="s">
        <v>167</v>
      </c>
      <c r="J36" s="20" t="s">
        <v>168</v>
      </c>
      <c r="K36" s="19" t="s">
        <v>129</v>
      </c>
      <c r="L36" s="19"/>
      <c r="M36" s="19">
        <v>16</v>
      </c>
      <c r="N36" s="19"/>
      <c r="O36" s="19"/>
      <c r="P36" s="19">
        <v>1</v>
      </c>
      <c r="Q36" s="19">
        <v>1</v>
      </c>
      <c r="R36" s="19"/>
      <c r="S36" s="19" t="s">
        <v>29</v>
      </c>
      <c r="T36" s="19" t="s">
        <v>29</v>
      </c>
    </row>
    <row r="37" spans="1:20" x14ac:dyDescent="0.25">
      <c r="A37" s="19" t="s">
        <v>169</v>
      </c>
      <c r="B37" s="20" t="s">
        <v>170</v>
      </c>
      <c r="C37" s="19" t="s">
        <v>132</v>
      </c>
      <c r="D37" s="19">
        <v>35</v>
      </c>
      <c r="E37" s="19"/>
      <c r="F37" s="19"/>
      <c r="G37" s="19">
        <v>1</v>
      </c>
      <c r="H37" s="19">
        <v>1</v>
      </c>
      <c r="I37" s="19" t="s">
        <v>171</v>
      </c>
      <c r="J37" s="20" t="s">
        <v>172</v>
      </c>
      <c r="K37" s="19" t="s">
        <v>132</v>
      </c>
      <c r="L37" s="19"/>
      <c r="M37" s="19">
        <v>35</v>
      </c>
      <c r="N37" s="19"/>
      <c r="O37" s="19"/>
      <c r="P37" s="19">
        <v>1</v>
      </c>
      <c r="Q37" s="19">
        <v>1</v>
      </c>
      <c r="R37" s="19"/>
      <c r="S37" s="19" t="s">
        <v>29</v>
      </c>
      <c r="T37" s="19" t="s">
        <v>29</v>
      </c>
    </row>
    <row r="38" spans="1:20" x14ac:dyDescent="0.25">
      <c r="A38" s="25"/>
      <c r="B38" s="25"/>
      <c r="C38" s="25"/>
      <c r="D38" s="25"/>
      <c r="E38" s="25"/>
      <c r="F38" s="25"/>
      <c r="G38" s="25"/>
      <c r="H38" s="25"/>
      <c r="I38" s="25" t="s">
        <v>173</v>
      </c>
      <c r="J38" s="26" t="s">
        <v>174</v>
      </c>
      <c r="K38" s="25" t="s">
        <v>135</v>
      </c>
      <c r="L38" s="25"/>
      <c r="M38" s="25">
        <v>35</v>
      </c>
      <c r="N38" s="25"/>
      <c r="O38" s="25"/>
      <c r="P38" s="25">
        <v>1</v>
      </c>
      <c r="Q38" s="25">
        <v>1</v>
      </c>
      <c r="R38" s="25" t="s">
        <v>91</v>
      </c>
      <c r="S38" s="25" t="s">
        <v>175</v>
      </c>
      <c r="T38" s="25" t="s">
        <v>334</v>
      </c>
    </row>
    <row r="39" spans="1:20" x14ac:dyDescent="0.25">
      <c r="A39" s="19" t="s">
        <v>177</v>
      </c>
      <c r="B39" s="20" t="s">
        <v>178</v>
      </c>
      <c r="C39" s="19" t="s">
        <v>138</v>
      </c>
      <c r="D39" s="19"/>
      <c r="E39" s="19">
        <v>2</v>
      </c>
      <c r="F39" s="19"/>
      <c r="G39" s="19">
        <v>1</v>
      </c>
      <c r="H39" s="19">
        <v>1</v>
      </c>
      <c r="I39" s="19" t="s">
        <v>179</v>
      </c>
      <c r="J39" s="20" t="s">
        <v>180</v>
      </c>
      <c r="K39" s="19" t="s">
        <v>138</v>
      </c>
      <c r="L39" s="19"/>
      <c r="M39" s="19"/>
      <c r="N39" s="19">
        <v>2</v>
      </c>
      <c r="O39" s="19"/>
      <c r="P39" s="19">
        <v>1</v>
      </c>
      <c r="Q39" s="19">
        <v>1</v>
      </c>
      <c r="R39" s="19"/>
      <c r="S39" s="19" t="s">
        <v>29</v>
      </c>
      <c r="T39" s="19" t="s">
        <v>29</v>
      </c>
    </row>
    <row r="40" spans="1:20" x14ac:dyDescent="0.25">
      <c r="A40" s="25"/>
      <c r="B40" s="25"/>
      <c r="C40" s="25"/>
      <c r="D40" s="25"/>
      <c r="E40" s="25"/>
      <c r="F40" s="25"/>
      <c r="G40" s="25"/>
      <c r="H40" s="25"/>
      <c r="I40" s="25" t="s">
        <v>181</v>
      </c>
      <c r="J40" s="26" t="s">
        <v>182</v>
      </c>
      <c r="K40" s="25" t="s">
        <v>141</v>
      </c>
      <c r="L40" s="25"/>
      <c r="M40" s="25">
        <v>70</v>
      </c>
      <c r="N40" s="25"/>
      <c r="O40" s="25"/>
      <c r="P40" s="25">
        <v>0</v>
      </c>
      <c r="Q40" s="25">
        <v>1</v>
      </c>
      <c r="R40" s="25" t="s">
        <v>91</v>
      </c>
      <c r="S40" s="25" t="s">
        <v>118</v>
      </c>
      <c r="T40" s="25" t="s">
        <v>335</v>
      </c>
    </row>
    <row r="41" spans="1:20" x14ac:dyDescent="0.25">
      <c r="A41" s="23"/>
      <c r="B41" s="23"/>
      <c r="C41" s="23"/>
      <c r="D41" s="23"/>
      <c r="E41" s="23"/>
      <c r="F41" s="23"/>
      <c r="G41" s="23"/>
      <c r="H41" s="23"/>
      <c r="I41" s="23" t="s">
        <v>184</v>
      </c>
      <c r="J41" s="24" t="s">
        <v>185</v>
      </c>
      <c r="K41" s="23" t="s">
        <v>144</v>
      </c>
      <c r="L41" s="23"/>
      <c r="M41" s="23"/>
      <c r="N41" s="23"/>
      <c r="O41" s="23"/>
      <c r="P41" s="23">
        <v>1</v>
      </c>
      <c r="Q41" s="23">
        <v>1</v>
      </c>
      <c r="R41" s="23" t="s">
        <v>91</v>
      </c>
      <c r="S41" s="23" t="s">
        <v>118</v>
      </c>
      <c r="T41" s="23" t="s">
        <v>336</v>
      </c>
    </row>
    <row r="42" spans="1:20" x14ac:dyDescent="0.25">
      <c r="A42" s="19" t="s">
        <v>186</v>
      </c>
      <c r="B42" s="20" t="s">
        <v>187</v>
      </c>
      <c r="C42" s="19" t="s">
        <v>188</v>
      </c>
      <c r="D42" s="19"/>
      <c r="E42" s="19">
        <v>10</v>
      </c>
      <c r="F42" s="19"/>
      <c r="G42" s="19">
        <v>1</v>
      </c>
      <c r="H42" s="19">
        <v>1</v>
      </c>
      <c r="I42" s="19" t="s">
        <v>189</v>
      </c>
      <c r="J42" s="20" t="s">
        <v>190</v>
      </c>
      <c r="K42" s="19" t="s">
        <v>188</v>
      </c>
      <c r="L42" s="19"/>
      <c r="M42" s="19"/>
      <c r="N42" s="19">
        <v>10</v>
      </c>
      <c r="O42" s="19"/>
      <c r="P42" s="19">
        <v>1</v>
      </c>
      <c r="Q42" s="19">
        <v>1</v>
      </c>
      <c r="R42" s="19"/>
      <c r="S42" s="19" t="s">
        <v>29</v>
      </c>
      <c r="T42" s="19" t="s">
        <v>29</v>
      </c>
    </row>
    <row r="43" spans="1:20" x14ac:dyDescent="0.25">
      <c r="A43" s="19" t="s">
        <v>191</v>
      </c>
      <c r="B43" s="20" t="s">
        <v>192</v>
      </c>
      <c r="C43" s="19" t="s">
        <v>193</v>
      </c>
      <c r="D43" s="19">
        <v>35</v>
      </c>
      <c r="E43" s="19"/>
      <c r="F43" s="19"/>
      <c r="G43" s="19">
        <v>1</v>
      </c>
      <c r="H43" s="19">
        <v>1</v>
      </c>
      <c r="I43" s="19" t="s">
        <v>194</v>
      </c>
      <c r="J43" s="20" t="s">
        <v>195</v>
      </c>
      <c r="K43" s="19" t="s">
        <v>193</v>
      </c>
      <c r="L43" s="19"/>
      <c r="M43" s="19">
        <v>35</v>
      </c>
      <c r="N43" s="19"/>
      <c r="O43" s="19"/>
      <c r="P43" s="19">
        <v>1</v>
      </c>
      <c r="Q43" s="19">
        <v>1</v>
      </c>
      <c r="R43" s="19"/>
      <c r="S43" s="19" t="s">
        <v>29</v>
      </c>
      <c r="T43" s="19" t="s">
        <v>29</v>
      </c>
    </row>
    <row r="44" spans="1:20" x14ac:dyDescent="0.25">
      <c r="A44" s="19" t="s">
        <v>196</v>
      </c>
      <c r="B44" s="20" t="s">
        <v>197</v>
      </c>
      <c r="C44" s="19" t="s">
        <v>198</v>
      </c>
      <c r="D44" s="19"/>
      <c r="E44" s="19">
        <v>2</v>
      </c>
      <c r="F44" s="19"/>
      <c r="G44" s="19">
        <v>1</v>
      </c>
      <c r="H44" s="19">
        <v>1</v>
      </c>
      <c r="I44" s="19" t="s">
        <v>199</v>
      </c>
      <c r="J44" s="20" t="s">
        <v>200</v>
      </c>
      <c r="K44" s="19" t="s">
        <v>198</v>
      </c>
      <c r="L44" s="19"/>
      <c r="M44" s="19"/>
      <c r="N44" s="19">
        <v>2</v>
      </c>
      <c r="O44" s="19"/>
      <c r="P44" s="19">
        <v>1</v>
      </c>
      <c r="Q44" s="19">
        <v>1</v>
      </c>
      <c r="R44" s="19"/>
      <c r="S44" s="19" t="s">
        <v>29</v>
      </c>
      <c r="T44" s="19" t="s">
        <v>29</v>
      </c>
    </row>
    <row r="45" spans="1:20" x14ac:dyDescent="0.25">
      <c r="A45" s="27" t="s">
        <v>201</v>
      </c>
      <c r="B45" s="28" t="s">
        <v>202</v>
      </c>
      <c r="C45" s="27" t="s">
        <v>148</v>
      </c>
      <c r="D45" s="29">
        <v>17</v>
      </c>
      <c r="E45" s="27"/>
      <c r="F45" s="27"/>
      <c r="G45" s="27">
        <v>1</v>
      </c>
      <c r="H45" s="27">
        <v>1</v>
      </c>
      <c r="I45" s="27" t="s">
        <v>203</v>
      </c>
      <c r="J45" s="28" t="s">
        <v>204</v>
      </c>
      <c r="K45" s="27" t="s">
        <v>148</v>
      </c>
      <c r="L45" s="27"/>
      <c r="M45" s="29">
        <v>34</v>
      </c>
      <c r="N45" s="27"/>
      <c r="O45" s="27"/>
      <c r="P45" s="27">
        <v>1</v>
      </c>
      <c r="Q45" s="27">
        <v>1</v>
      </c>
      <c r="R45" s="27"/>
      <c r="S45" s="27" t="s">
        <v>29</v>
      </c>
      <c r="T45" s="27" t="s">
        <v>337</v>
      </c>
    </row>
    <row r="46" spans="1:20" x14ac:dyDescent="0.25">
      <c r="A46" s="19" t="s">
        <v>206</v>
      </c>
      <c r="B46" s="20" t="s">
        <v>207</v>
      </c>
      <c r="C46" s="19" t="s">
        <v>106</v>
      </c>
      <c r="D46" s="19">
        <v>9</v>
      </c>
      <c r="E46" s="19"/>
      <c r="F46" s="19"/>
      <c r="G46" s="19">
        <v>1</v>
      </c>
      <c r="H46" s="19">
        <v>1</v>
      </c>
      <c r="I46" s="19" t="s">
        <v>208</v>
      </c>
      <c r="J46" s="20" t="s">
        <v>209</v>
      </c>
      <c r="K46" s="19" t="s">
        <v>106</v>
      </c>
      <c r="L46" s="19"/>
      <c r="M46" s="19">
        <v>9</v>
      </c>
      <c r="N46" s="19"/>
      <c r="O46" s="19"/>
      <c r="P46" s="19">
        <v>1</v>
      </c>
      <c r="Q46" s="19">
        <v>1</v>
      </c>
      <c r="R46" s="19"/>
      <c r="S46" s="19" t="s">
        <v>29</v>
      </c>
      <c r="T46" s="19" t="s">
        <v>29</v>
      </c>
    </row>
    <row r="47" spans="1:20" x14ac:dyDescent="0.25">
      <c r="A47" s="19" t="s">
        <v>210</v>
      </c>
      <c r="B47" s="20" t="s">
        <v>211</v>
      </c>
      <c r="C47" s="19" t="s">
        <v>106</v>
      </c>
      <c r="D47" s="19">
        <v>9</v>
      </c>
      <c r="E47" s="19"/>
      <c r="F47" s="19"/>
      <c r="G47" s="19">
        <v>1</v>
      </c>
      <c r="H47" s="19">
        <v>1</v>
      </c>
      <c r="I47" s="19" t="s">
        <v>212</v>
      </c>
      <c r="J47" s="20" t="s">
        <v>213</v>
      </c>
      <c r="K47" s="19" t="s">
        <v>106</v>
      </c>
      <c r="L47" s="19"/>
      <c r="M47" s="19">
        <v>9</v>
      </c>
      <c r="N47" s="19"/>
      <c r="O47" s="19"/>
      <c r="P47" s="19">
        <v>1</v>
      </c>
      <c r="Q47" s="19">
        <v>1</v>
      </c>
      <c r="R47" s="19"/>
      <c r="S47" s="19" t="s">
        <v>29</v>
      </c>
      <c r="T47" s="19" t="s">
        <v>29</v>
      </c>
    </row>
    <row r="48" spans="1:20" x14ac:dyDescent="0.25">
      <c r="A48" s="19" t="s">
        <v>214</v>
      </c>
      <c r="B48" s="20" t="s">
        <v>215</v>
      </c>
      <c r="C48" s="19" t="s">
        <v>117</v>
      </c>
      <c r="D48" s="19">
        <v>140</v>
      </c>
      <c r="E48" s="19"/>
      <c r="F48" s="19"/>
      <c r="G48" s="19">
        <v>1</v>
      </c>
      <c r="H48" s="19">
        <v>1</v>
      </c>
      <c r="I48" s="19" t="s">
        <v>216</v>
      </c>
      <c r="J48" s="20" t="s">
        <v>217</v>
      </c>
      <c r="K48" s="19" t="s">
        <v>117</v>
      </c>
      <c r="L48" s="19"/>
      <c r="M48" s="19">
        <v>140</v>
      </c>
      <c r="N48" s="19"/>
      <c r="O48" s="19"/>
      <c r="P48" s="19">
        <v>1</v>
      </c>
      <c r="Q48" s="19">
        <v>1</v>
      </c>
      <c r="R48" s="19"/>
      <c r="S48" s="19" t="s">
        <v>29</v>
      </c>
      <c r="T48" s="19" t="s">
        <v>29</v>
      </c>
    </row>
    <row r="49" spans="1:20" x14ac:dyDescent="0.25">
      <c r="A49" s="19" t="s">
        <v>219</v>
      </c>
      <c r="B49" s="20" t="s">
        <v>220</v>
      </c>
      <c r="C49" s="19" t="s">
        <v>122</v>
      </c>
      <c r="D49" s="19">
        <v>70</v>
      </c>
      <c r="E49" s="19"/>
      <c r="F49" s="19"/>
      <c r="G49" s="19">
        <v>1</v>
      </c>
      <c r="H49" s="19">
        <v>1</v>
      </c>
      <c r="I49" s="19" t="s">
        <v>221</v>
      </c>
      <c r="J49" s="20" t="s">
        <v>222</v>
      </c>
      <c r="K49" s="19" t="s">
        <v>122</v>
      </c>
      <c r="L49" s="19"/>
      <c r="M49" s="19">
        <v>70</v>
      </c>
      <c r="N49" s="19"/>
      <c r="O49" s="19"/>
      <c r="P49" s="19">
        <v>1</v>
      </c>
      <c r="Q49" s="19">
        <v>1</v>
      </c>
      <c r="R49" s="19"/>
      <c r="S49" s="19" t="s">
        <v>29</v>
      </c>
      <c r="T49" s="19" t="s">
        <v>29</v>
      </c>
    </row>
    <row r="50" spans="1:20" x14ac:dyDescent="0.25">
      <c r="A50" s="19" t="s">
        <v>223</v>
      </c>
      <c r="B50" s="20" t="s">
        <v>224</v>
      </c>
      <c r="C50" s="19" t="s">
        <v>126</v>
      </c>
      <c r="D50" s="19">
        <v>16</v>
      </c>
      <c r="E50" s="19"/>
      <c r="F50" s="19"/>
      <c r="G50" s="19">
        <v>0</v>
      </c>
      <c r="H50" s="19">
        <v>1</v>
      </c>
      <c r="I50" s="19" t="s">
        <v>225</v>
      </c>
      <c r="J50" s="20" t="s">
        <v>226</v>
      </c>
      <c r="K50" s="19" t="s">
        <v>126</v>
      </c>
      <c r="L50" s="19"/>
      <c r="M50" s="19">
        <v>16</v>
      </c>
      <c r="N50" s="19"/>
      <c r="O50" s="19"/>
      <c r="P50" s="19">
        <v>0</v>
      </c>
      <c r="Q50" s="19">
        <v>1</v>
      </c>
      <c r="R50" s="19"/>
      <c r="S50" s="19" t="s">
        <v>29</v>
      </c>
      <c r="T50" s="19" t="s">
        <v>29</v>
      </c>
    </row>
    <row r="51" spans="1:20" x14ac:dyDescent="0.25">
      <c r="A51" s="19" t="s">
        <v>227</v>
      </c>
      <c r="B51" s="20" t="s">
        <v>228</v>
      </c>
      <c r="C51" s="19" t="s">
        <v>129</v>
      </c>
      <c r="D51" s="19">
        <v>16</v>
      </c>
      <c r="E51" s="19"/>
      <c r="F51" s="19"/>
      <c r="G51" s="19">
        <v>1</v>
      </c>
      <c r="H51" s="19">
        <v>1</v>
      </c>
      <c r="I51" s="19" t="s">
        <v>229</v>
      </c>
      <c r="J51" s="20" t="s">
        <v>230</v>
      </c>
      <c r="K51" s="19" t="s">
        <v>129</v>
      </c>
      <c r="L51" s="19"/>
      <c r="M51" s="19">
        <v>16</v>
      </c>
      <c r="N51" s="19"/>
      <c r="O51" s="19"/>
      <c r="P51" s="19">
        <v>1</v>
      </c>
      <c r="Q51" s="19">
        <v>1</v>
      </c>
      <c r="R51" s="19"/>
      <c r="S51" s="19" t="s">
        <v>29</v>
      </c>
      <c r="T51" s="19" t="s">
        <v>29</v>
      </c>
    </row>
    <row r="52" spans="1:20" x14ac:dyDescent="0.25">
      <c r="A52" s="19" t="s">
        <v>231</v>
      </c>
      <c r="B52" s="20" t="s">
        <v>232</v>
      </c>
      <c r="C52" s="19" t="s">
        <v>132</v>
      </c>
      <c r="D52" s="19">
        <v>35</v>
      </c>
      <c r="E52" s="19"/>
      <c r="F52" s="19"/>
      <c r="G52" s="19">
        <v>1</v>
      </c>
      <c r="H52" s="19">
        <v>1</v>
      </c>
      <c r="I52" s="19" t="s">
        <v>233</v>
      </c>
      <c r="J52" s="20" t="s">
        <v>234</v>
      </c>
      <c r="K52" s="19" t="s">
        <v>132</v>
      </c>
      <c r="L52" s="19"/>
      <c r="M52" s="19">
        <v>35</v>
      </c>
      <c r="N52" s="19"/>
      <c r="O52" s="19"/>
      <c r="P52" s="19">
        <v>1</v>
      </c>
      <c r="Q52" s="19">
        <v>1</v>
      </c>
      <c r="R52" s="19"/>
      <c r="S52" s="19" t="s">
        <v>29</v>
      </c>
      <c r="T52" s="19" t="s">
        <v>29</v>
      </c>
    </row>
    <row r="53" spans="1:20" x14ac:dyDescent="0.25">
      <c r="A53" s="25"/>
      <c r="B53" s="25"/>
      <c r="C53" s="25"/>
      <c r="D53" s="25"/>
      <c r="E53" s="25"/>
      <c r="F53" s="25"/>
      <c r="G53" s="25"/>
      <c r="H53" s="25"/>
      <c r="I53" s="25" t="s">
        <v>235</v>
      </c>
      <c r="J53" s="26" t="s">
        <v>236</v>
      </c>
      <c r="K53" s="25" t="s">
        <v>135</v>
      </c>
      <c r="L53" s="25"/>
      <c r="M53" s="25">
        <v>35</v>
      </c>
      <c r="N53" s="25"/>
      <c r="O53" s="25"/>
      <c r="P53" s="25">
        <v>1</v>
      </c>
      <c r="Q53" s="25">
        <v>1</v>
      </c>
      <c r="R53" s="25" t="s">
        <v>91</v>
      </c>
      <c r="S53" s="25" t="s">
        <v>175</v>
      </c>
      <c r="T53" s="25" t="s">
        <v>338</v>
      </c>
    </row>
    <row r="54" spans="1:20" x14ac:dyDescent="0.25">
      <c r="A54" s="19" t="s">
        <v>238</v>
      </c>
      <c r="B54" s="20" t="s">
        <v>239</v>
      </c>
      <c r="C54" s="19" t="s">
        <v>138</v>
      </c>
      <c r="D54" s="19"/>
      <c r="E54" s="19">
        <v>2</v>
      </c>
      <c r="F54" s="19"/>
      <c r="G54" s="19">
        <v>1</v>
      </c>
      <c r="H54" s="19">
        <v>1</v>
      </c>
      <c r="I54" s="19" t="s">
        <v>240</v>
      </c>
      <c r="J54" s="20" t="s">
        <v>241</v>
      </c>
      <c r="K54" s="19" t="s">
        <v>138</v>
      </c>
      <c r="L54" s="19"/>
      <c r="M54" s="19"/>
      <c r="N54" s="19">
        <v>2</v>
      </c>
      <c r="O54" s="19"/>
      <c r="P54" s="19">
        <v>1</v>
      </c>
      <c r="Q54" s="19">
        <v>1</v>
      </c>
      <c r="R54" s="19"/>
      <c r="S54" s="19" t="s">
        <v>29</v>
      </c>
      <c r="T54" s="19" t="s">
        <v>29</v>
      </c>
    </row>
    <row r="55" spans="1:20" x14ac:dyDescent="0.25">
      <c r="A55" s="25"/>
      <c r="B55" s="25"/>
      <c r="C55" s="25"/>
      <c r="D55" s="25"/>
      <c r="E55" s="25"/>
      <c r="F55" s="25"/>
      <c r="G55" s="25"/>
      <c r="H55" s="25"/>
      <c r="I55" s="25" t="s">
        <v>242</v>
      </c>
      <c r="J55" s="26" t="s">
        <v>243</v>
      </c>
      <c r="K55" s="25" t="s">
        <v>141</v>
      </c>
      <c r="L55" s="25"/>
      <c r="M55" s="25">
        <v>70</v>
      </c>
      <c r="N55" s="25"/>
      <c r="O55" s="25"/>
      <c r="P55" s="25">
        <v>0</v>
      </c>
      <c r="Q55" s="25">
        <v>1</v>
      </c>
      <c r="R55" s="25" t="s">
        <v>91</v>
      </c>
      <c r="S55" s="25" t="str">
        <f>IF(R55="NEW ELEMENT","N/A", check)</f>
        <v>N/A</v>
      </c>
      <c r="T55" s="25" t="s">
        <v>339</v>
      </c>
    </row>
    <row r="56" spans="1:20" x14ac:dyDescent="0.25">
      <c r="A56" s="23"/>
      <c r="B56" s="23"/>
      <c r="C56" s="23"/>
      <c r="D56" s="23"/>
      <c r="E56" s="23"/>
      <c r="F56" s="23"/>
      <c r="G56" s="23"/>
      <c r="H56" s="23"/>
      <c r="I56" s="23" t="s">
        <v>245</v>
      </c>
      <c r="J56" s="24" t="s">
        <v>246</v>
      </c>
      <c r="K56" s="23" t="s">
        <v>144</v>
      </c>
      <c r="L56" s="23"/>
      <c r="M56" s="23"/>
      <c r="N56" s="23"/>
      <c r="O56" s="23"/>
      <c r="P56" s="23">
        <v>1</v>
      </c>
      <c r="Q56" s="23">
        <v>1</v>
      </c>
      <c r="R56" s="23" t="s">
        <v>91</v>
      </c>
      <c r="S56" s="23" t="str">
        <f>IF(R56="NEW ELEMENT","N/A", check)</f>
        <v>N/A</v>
      </c>
      <c r="T56" s="23" t="s">
        <v>336</v>
      </c>
    </row>
    <row r="57" spans="1:20" x14ac:dyDescent="0.25">
      <c r="A57" s="19" t="s">
        <v>247</v>
      </c>
      <c r="B57" s="20" t="s">
        <v>248</v>
      </c>
      <c r="C57" s="19" t="s">
        <v>188</v>
      </c>
      <c r="D57" s="19"/>
      <c r="E57" s="19">
        <v>10</v>
      </c>
      <c r="F57" s="19"/>
      <c r="G57" s="19">
        <v>1</v>
      </c>
      <c r="H57" s="19">
        <v>1</v>
      </c>
      <c r="I57" s="19" t="s">
        <v>249</v>
      </c>
      <c r="J57" s="20" t="s">
        <v>250</v>
      </c>
      <c r="K57" s="19" t="s">
        <v>188</v>
      </c>
      <c r="L57" s="19"/>
      <c r="M57" s="19"/>
      <c r="N57" s="19">
        <v>10</v>
      </c>
      <c r="O57" s="19"/>
      <c r="P57" s="19">
        <v>1</v>
      </c>
      <c r="Q57" s="19">
        <v>1</v>
      </c>
      <c r="R57" s="19"/>
      <c r="S57" s="19" t="s">
        <v>29</v>
      </c>
      <c r="T57" s="19" t="s">
        <v>29</v>
      </c>
    </row>
    <row r="58" spans="1:20" x14ac:dyDescent="0.25">
      <c r="A58" s="19" t="s">
        <v>251</v>
      </c>
      <c r="B58" s="20" t="s">
        <v>252</v>
      </c>
      <c r="C58" s="19" t="s">
        <v>193</v>
      </c>
      <c r="D58" s="19">
        <v>35</v>
      </c>
      <c r="E58" s="19"/>
      <c r="F58" s="19"/>
      <c r="G58" s="19">
        <v>1</v>
      </c>
      <c r="H58" s="19">
        <v>1</v>
      </c>
      <c r="I58" s="19" t="s">
        <v>253</v>
      </c>
      <c r="J58" s="20" t="s">
        <v>254</v>
      </c>
      <c r="K58" s="19" t="s">
        <v>193</v>
      </c>
      <c r="L58" s="19"/>
      <c r="M58" s="19">
        <v>35</v>
      </c>
      <c r="N58" s="19"/>
      <c r="O58" s="19"/>
      <c r="P58" s="19">
        <v>1</v>
      </c>
      <c r="Q58" s="19">
        <v>1</v>
      </c>
      <c r="R58" s="19"/>
      <c r="S58" s="19" t="s">
        <v>29</v>
      </c>
      <c r="T58" s="19" t="s">
        <v>29</v>
      </c>
    </row>
    <row r="59" spans="1:20" x14ac:dyDescent="0.25">
      <c r="A59" s="19" t="s">
        <v>255</v>
      </c>
      <c r="B59" s="20" t="s">
        <v>256</v>
      </c>
      <c r="C59" s="19" t="s">
        <v>198</v>
      </c>
      <c r="D59" s="19"/>
      <c r="E59" s="19">
        <v>2</v>
      </c>
      <c r="F59" s="19"/>
      <c r="G59" s="19">
        <v>1</v>
      </c>
      <c r="H59" s="19">
        <v>1</v>
      </c>
      <c r="I59" s="19" t="s">
        <v>257</v>
      </c>
      <c r="J59" s="20" t="s">
        <v>258</v>
      </c>
      <c r="K59" s="19" t="s">
        <v>198</v>
      </c>
      <c r="L59" s="19"/>
      <c r="M59" s="19"/>
      <c r="N59" s="19">
        <v>2</v>
      </c>
      <c r="O59" s="19"/>
      <c r="P59" s="19">
        <v>1</v>
      </c>
      <c r="Q59" s="19">
        <v>1</v>
      </c>
      <c r="R59" s="19"/>
      <c r="S59" s="19" t="s">
        <v>29</v>
      </c>
      <c r="T59" s="19" t="s">
        <v>29</v>
      </c>
    </row>
    <row r="60" spans="1:20" x14ac:dyDescent="0.25">
      <c r="A60" s="27" t="s">
        <v>259</v>
      </c>
      <c r="B60" s="28" t="s">
        <v>260</v>
      </c>
      <c r="C60" s="27" t="s">
        <v>148</v>
      </c>
      <c r="D60" s="29">
        <v>17</v>
      </c>
      <c r="E60" s="27"/>
      <c r="F60" s="27"/>
      <c r="G60" s="27">
        <v>1</v>
      </c>
      <c r="H60" s="27">
        <v>1</v>
      </c>
      <c r="I60" s="27" t="s">
        <v>261</v>
      </c>
      <c r="J60" s="28" t="s">
        <v>262</v>
      </c>
      <c r="K60" s="27" t="s">
        <v>148</v>
      </c>
      <c r="L60" s="27"/>
      <c r="M60" s="29">
        <v>34</v>
      </c>
      <c r="N60" s="27"/>
      <c r="O60" s="27"/>
      <c r="P60" s="27">
        <v>1</v>
      </c>
      <c r="Q60" s="27">
        <v>1</v>
      </c>
      <c r="R60" s="27"/>
      <c r="S60" s="27" t="s">
        <v>29</v>
      </c>
      <c r="T60" s="27" t="s">
        <v>337</v>
      </c>
    </row>
    <row r="61" spans="1:20" x14ac:dyDescent="0.25">
      <c r="A61" s="23"/>
      <c r="B61" s="23"/>
      <c r="C61" s="23"/>
      <c r="D61" s="23"/>
      <c r="E61" s="23"/>
      <c r="F61" s="23"/>
      <c r="G61" s="23"/>
      <c r="H61" s="23"/>
      <c r="I61" s="23" t="s">
        <v>263</v>
      </c>
      <c r="J61" s="24" t="s">
        <v>264</v>
      </c>
      <c r="K61" s="23" t="s">
        <v>148</v>
      </c>
      <c r="L61" s="23"/>
      <c r="M61" s="23">
        <v>256</v>
      </c>
      <c r="N61" s="23"/>
      <c r="O61" s="23"/>
      <c r="P61" s="23">
        <v>1</v>
      </c>
      <c r="Q61" s="23">
        <v>1</v>
      </c>
      <c r="R61" s="23" t="s">
        <v>91</v>
      </c>
      <c r="S61" s="23" t="s">
        <v>118</v>
      </c>
      <c r="T61" s="23" t="s">
        <v>336</v>
      </c>
    </row>
    <row r="62" spans="1:20" x14ac:dyDescent="0.25">
      <c r="A62" s="23"/>
      <c r="B62" s="23"/>
      <c r="C62" s="23"/>
      <c r="D62" s="23"/>
      <c r="E62" s="23"/>
      <c r="F62" s="23"/>
      <c r="G62" s="23"/>
      <c r="H62" s="23"/>
      <c r="I62" s="23" t="s">
        <v>265</v>
      </c>
      <c r="J62" s="24" t="s">
        <v>266</v>
      </c>
      <c r="K62" s="23" t="s">
        <v>117</v>
      </c>
      <c r="L62" s="23"/>
      <c r="M62" s="23">
        <v>140</v>
      </c>
      <c r="N62" s="23"/>
      <c r="O62" s="23"/>
      <c r="P62" s="23">
        <v>1</v>
      </c>
      <c r="Q62" s="23">
        <v>1</v>
      </c>
      <c r="R62" s="23" t="s">
        <v>91</v>
      </c>
      <c r="S62" s="23" t="str">
        <f>IF(R62="NEW ELEMENT","N/A", check)</f>
        <v>N/A</v>
      </c>
      <c r="T62" s="23" t="s">
        <v>336</v>
      </c>
    </row>
    <row r="63" spans="1:20" x14ac:dyDescent="0.25">
      <c r="A63" s="23"/>
      <c r="B63" s="23"/>
      <c r="C63" s="23"/>
      <c r="D63" s="23"/>
      <c r="E63" s="23"/>
      <c r="F63" s="23"/>
      <c r="G63" s="23"/>
      <c r="H63" s="23"/>
      <c r="I63" s="23" t="s">
        <v>268</v>
      </c>
      <c r="J63" s="24" t="s">
        <v>269</v>
      </c>
      <c r="K63" s="23" t="s">
        <v>122</v>
      </c>
      <c r="L63" s="23"/>
      <c r="M63" s="23">
        <v>70</v>
      </c>
      <c r="N63" s="23"/>
      <c r="O63" s="23"/>
      <c r="P63" s="23">
        <v>1</v>
      </c>
      <c r="Q63" s="23">
        <v>1</v>
      </c>
      <c r="R63" s="23" t="s">
        <v>91</v>
      </c>
      <c r="S63" s="23" t="str">
        <f>IF(R63="NEW ELEMENT","N/A", check)</f>
        <v>N/A</v>
      </c>
      <c r="T63" s="23" t="s">
        <v>336</v>
      </c>
    </row>
    <row r="64" spans="1:20" x14ac:dyDescent="0.25">
      <c r="A64" s="23"/>
      <c r="B64" s="23"/>
      <c r="C64" s="23"/>
      <c r="D64" s="23"/>
      <c r="E64" s="23"/>
      <c r="F64" s="23"/>
      <c r="G64" s="23"/>
      <c r="H64" s="23"/>
      <c r="I64" s="23" t="s">
        <v>270</v>
      </c>
      <c r="J64" s="24" t="s">
        <v>271</v>
      </c>
      <c r="K64" s="23" t="s">
        <v>126</v>
      </c>
      <c r="L64" s="23"/>
      <c r="M64" s="23">
        <v>16</v>
      </c>
      <c r="N64" s="23"/>
      <c r="O64" s="23"/>
      <c r="P64" s="23">
        <v>0</v>
      </c>
      <c r="Q64" s="23">
        <v>1</v>
      </c>
      <c r="R64" s="23" t="s">
        <v>91</v>
      </c>
      <c r="S64" s="23" t="str">
        <f>IF(R64="NEW ELEMENT","N/A", check)</f>
        <v>N/A</v>
      </c>
      <c r="T64" s="23" t="s">
        <v>336</v>
      </c>
    </row>
    <row r="65" spans="1:20" x14ac:dyDescent="0.25">
      <c r="A65" s="23"/>
      <c r="B65" s="23"/>
      <c r="C65" s="23"/>
      <c r="D65" s="23"/>
      <c r="E65" s="23"/>
      <c r="F65" s="23"/>
      <c r="G65" s="23"/>
      <c r="H65" s="23"/>
      <c r="I65" s="23" t="s">
        <v>272</v>
      </c>
      <c r="J65" s="24" t="s">
        <v>273</v>
      </c>
      <c r="K65" s="23" t="s">
        <v>129</v>
      </c>
      <c r="L65" s="23"/>
      <c r="M65" s="23">
        <v>16</v>
      </c>
      <c r="N65" s="23"/>
      <c r="O65" s="23"/>
      <c r="P65" s="23">
        <v>1</v>
      </c>
      <c r="Q65" s="23">
        <v>1</v>
      </c>
      <c r="R65" s="23" t="s">
        <v>91</v>
      </c>
      <c r="S65" s="23" t="str">
        <f>IF(R65="NEW ELEMENT","N/A", check)</f>
        <v>N/A</v>
      </c>
      <c r="T65" s="23" t="s">
        <v>336</v>
      </c>
    </row>
    <row r="66" spans="1:20" x14ac:dyDescent="0.25">
      <c r="A66" s="23"/>
      <c r="B66" s="23"/>
      <c r="C66" s="23"/>
      <c r="D66" s="23"/>
      <c r="E66" s="23"/>
      <c r="F66" s="23"/>
      <c r="G66" s="23"/>
      <c r="H66" s="23"/>
      <c r="I66" s="23" t="s">
        <v>274</v>
      </c>
      <c r="J66" s="24" t="s">
        <v>275</v>
      </c>
      <c r="K66" s="23" t="s">
        <v>132</v>
      </c>
      <c r="L66" s="23"/>
      <c r="M66" s="23">
        <v>35</v>
      </c>
      <c r="N66" s="23"/>
      <c r="O66" s="23"/>
      <c r="P66" s="23">
        <v>1</v>
      </c>
      <c r="Q66" s="23">
        <v>1</v>
      </c>
      <c r="R66" s="23" t="s">
        <v>91</v>
      </c>
      <c r="S66" s="23" t="str">
        <f>IF(R66="NEW ELEMENT","N/A", check)</f>
        <v>N/A</v>
      </c>
      <c r="T66" s="23" t="s">
        <v>336</v>
      </c>
    </row>
    <row r="67" spans="1:20" x14ac:dyDescent="0.25">
      <c r="A67" s="23"/>
      <c r="B67" s="23"/>
      <c r="C67" s="23"/>
      <c r="D67" s="23"/>
      <c r="E67" s="23"/>
      <c r="F67" s="23"/>
      <c r="G67" s="23"/>
      <c r="H67" s="23"/>
      <c r="I67" s="23" t="s">
        <v>276</v>
      </c>
      <c r="J67" s="24" t="s">
        <v>277</v>
      </c>
      <c r="K67" s="23" t="s">
        <v>135</v>
      </c>
      <c r="L67" s="23"/>
      <c r="M67" s="23">
        <v>35</v>
      </c>
      <c r="N67" s="23"/>
      <c r="O67" s="23"/>
      <c r="P67" s="23">
        <v>1</v>
      </c>
      <c r="Q67" s="23">
        <v>1</v>
      </c>
      <c r="R67" s="23" t="s">
        <v>91</v>
      </c>
      <c r="S67" s="23" t="str">
        <f>IF(R67="NEW ELEMENT","N/A", check)</f>
        <v>N/A</v>
      </c>
      <c r="T67" s="23" t="s">
        <v>336</v>
      </c>
    </row>
    <row r="68" spans="1:20" x14ac:dyDescent="0.25">
      <c r="A68" s="23"/>
      <c r="B68" s="23"/>
      <c r="C68" s="23"/>
      <c r="D68" s="23"/>
      <c r="E68" s="23"/>
      <c r="F68" s="23"/>
      <c r="G68" s="23"/>
      <c r="H68" s="23"/>
      <c r="I68" s="23" t="s">
        <v>278</v>
      </c>
      <c r="J68" s="24" t="s">
        <v>279</v>
      </c>
      <c r="K68" s="23" t="s">
        <v>138</v>
      </c>
      <c r="L68" s="23"/>
      <c r="M68" s="23"/>
      <c r="N68" s="23">
        <v>2</v>
      </c>
      <c r="O68" s="23"/>
      <c r="P68" s="23">
        <v>1</v>
      </c>
      <c r="Q68" s="23">
        <v>1</v>
      </c>
      <c r="R68" s="23" t="s">
        <v>91</v>
      </c>
      <c r="S68" s="23" t="str">
        <f>IF(R68="NEW ELEMENT","N/A", check)</f>
        <v>N/A</v>
      </c>
      <c r="T68" s="23" t="s">
        <v>336</v>
      </c>
    </row>
    <row r="69" spans="1:20" x14ac:dyDescent="0.25">
      <c r="A69" s="23"/>
      <c r="B69" s="23"/>
      <c r="C69" s="23"/>
      <c r="D69" s="23"/>
      <c r="E69" s="23"/>
      <c r="F69" s="23"/>
      <c r="G69" s="23"/>
      <c r="H69" s="23"/>
      <c r="I69" s="23" t="s">
        <v>280</v>
      </c>
      <c r="J69" s="24" t="s">
        <v>281</v>
      </c>
      <c r="K69" s="23" t="s">
        <v>141</v>
      </c>
      <c r="L69" s="23"/>
      <c r="M69" s="23">
        <v>70</v>
      </c>
      <c r="N69" s="23"/>
      <c r="O69" s="23"/>
      <c r="P69" s="23">
        <v>0</v>
      </c>
      <c r="Q69" s="23">
        <v>1</v>
      </c>
      <c r="R69" s="23" t="s">
        <v>91</v>
      </c>
      <c r="S69" s="23" t="str">
        <f>IF(R69="NEW ELEMENT","N/A", check)</f>
        <v>N/A</v>
      </c>
      <c r="T69" s="23" t="s">
        <v>336</v>
      </c>
    </row>
    <row r="70" spans="1:20" x14ac:dyDescent="0.25">
      <c r="A70" s="23"/>
      <c r="B70" s="23"/>
      <c r="C70" s="23"/>
      <c r="D70" s="23"/>
      <c r="E70" s="23"/>
      <c r="F70" s="23"/>
      <c r="G70" s="23"/>
      <c r="H70" s="23"/>
      <c r="I70" s="23" t="s">
        <v>282</v>
      </c>
      <c r="J70" s="24" t="s">
        <v>283</v>
      </c>
      <c r="K70" s="23" t="s">
        <v>144</v>
      </c>
      <c r="L70" s="23"/>
      <c r="M70" s="23"/>
      <c r="N70" s="23"/>
      <c r="O70" s="23"/>
      <c r="P70" s="23">
        <v>1</v>
      </c>
      <c r="Q70" s="23">
        <v>1</v>
      </c>
      <c r="R70" s="23" t="s">
        <v>91</v>
      </c>
      <c r="S70" s="23" t="str">
        <f>IF(R70="NEW ELEMENT","N/A", check)</f>
        <v>N/A</v>
      </c>
      <c r="T70" s="23" t="s">
        <v>336</v>
      </c>
    </row>
    <row r="71" spans="1:20" x14ac:dyDescent="0.25">
      <c r="A71" s="23"/>
      <c r="B71" s="23"/>
      <c r="C71" s="23"/>
      <c r="D71" s="23"/>
      <c r="E71" s="23"/>
      <c r="F71" s="23"/>
      <c r="G71" s="23"/>
      <c r="H71" s="23"/>
      <c r="I71" s="23" t="s">
        <v>285</v>
      </c>
      <c r="J71" s="24" t="s">
        <v>286</v>
      </c>
      <c r="K71" s="23" t="s">
        <v>148</v>
      </c>
      <c r="L71" s="23"/>
      <c r="M71" s="23">
        <v>35</v>
      </c>
      <c r="N71" s="23"/>
      <c r="O71" s="23"/>
      <c r="P71" s="23">
        <v>1</v>
      </c>
      <c r="Q71" s="23">
        <v>1</v>
      </c>
      <c r="R71" s="23" t="s">
        <v>91</v>
      </c>
      <c r="S71" s="23" t="str">
        <f>IF(R71="NEW ELEMENT","N/A", check)</f>
        <v>N/A</v>
      </c>
      <c r="T71" s="23" t="s">
        <v>336</v>
      </c>
    </row>
    <row r="72" spans="1:20" x14ac:dyDescent="0.25">
      <c r="A72" s="23"/>
      <c r="B72" s="23"/>
      <c r="C72" s="23"/>
      <c r="D72" s="23"/>
      <c r="E72" s="23"/>
      <c r="F72" s="23"/>
      <c r="G72" s="23"/>
      <c r="H72" s="23"/>
      <c r="I72" s="23" t="s">
        <v>287</v>
      </c>
      <c r="J72" s="24" t="s">
        <v>288</v>
      </c>
      <c r="K72" s="23" t="s">
        <v>40</v>
      </c>
      <c r="L72" s="23"/>
      <c r="M72" s="23"/>
      <c r="N72" s="23">
        <v>4</v>
      </c>
      <c r="O72" s="23"/>
      <c r="P72" s="23">
        <v>1</v>
      </c>
      <c r="Q72" s="23">
        <v>1</v>
      </c>
      <c r="R72" s="23" t="s">
        <v>91</v>
      </c>
      <c r="S72" s="23" t="str">
        <f>IF(R72="NEW ELEMENT","N/A", check)</f>
        <v>N/A</v>
      </c>
      <c r="T72" s="23" t="s">
        <v>336</v>
      </c>
    </row>
    <row r="73" spans="1:20" x14ac:dyDescent="0.25">
      <c r="A73" s="23"/>
      <c r="B73" s="23"/>
      <c r="C73" s="23"/>
      <c r="D73" s="23"/>
      <c r="E73" s="23"/>
      <c r="F73" s="23"/>
      <c r="G73" s="23"/>
      <c r="H73" s="23"/>
      <c r="I73" s="23" t="s">
        <v>289</v>
      </c>
      <c r="J73" s="24" t="s">
        <v>290</v>
      </c>
      <c r="K73" s="23" t="s">
        <v>291</v>
      </c>
      <c r="L73" s="23"/>
      <c r="M73" s="23">
        <v>140</v>
      </c>
      <c r="N73" s="23"/>
      <c r="O73" s="23"/>
      <c r="P73" s="23">
        <v>1</v>
      </c>
      <c r="Q73" s="23">
        <v>1</v>
      </c>
      <c r="R73" s="23" t="s">
        <v>91</v>
      </c>
      <c r="S73" s="23" t="str">
        <f>IF(R73="NEW ELEMENT","N/A", check)</f>
        <v>N/A</v>
      </c>
      <c r="T73" s="23" t="s">
        <v>336</v>
      </c>
    </row>
    <row r="74" spans="1:20" x14ac:dyDescent="0.25">
      <c r="A74" s="19" t="s">
        <v>292</v>
      </c>
      <c r="B74" s="20" t="s">
        <v>293</v>
      </c>
      <c r="C74" s="19" t="s">
        <v>294</v>
      </c>
      <c r="D74" s="19">
        <v>35</v>
      </c>
      <c r="E74" s="19"/>
      <c r="F74" s="19"/>
      <c r="G74" s="19">
        <v>0</v>
      </c>
      <c r="H74" s="19">
        <v>1</v>
      </c>
      <c r="I74" s="19" t="s">
        <v>295</v>
      </c>
      <c r="J74" s="20" t="s">
        <v>296</v>
      </c>
      <c r="K74" s="19" t="s">
        <v>294</v>
      </c>
      <c r="L74" s="19"/>
      <c r="M74" s="19">
        <v>35</v>
      </c>
      <c r="N74" s="19"/>
      <c r="O74" s="19"/>
      <c r="P74" s="19">
        <v>0</v>
      </c>
      <c r="Q74" s="19">
        <v>1</v>
      </c>
      <c r="R74" s="19"/>
      <c r="S74" s="19" t="s">
        <v>29</v>
      </c>
      <c r="T74" s="19" t="s">
        <v>29</v>
      </c>
    </row>
    <row r="75" spans="1:20" x14ac:dyDescent="0.25">
      <c r="A75" s="19" t="s">
        <v>297</v>
      </c>
      <c r="B75" s="20" t="s">
        <v>298</v>
      </c>
      <c r="C75" s="19" t="s">
        <v>299</v>
      </c>
      <c r="D75" s="19"/>
      <c r="E75" s="19"/>
      <c r="F75" s="19"/>
      <c r="G75" s="19">
        <v>1</v>
      </c>
      <c r="H75" s="19">
        <v>1</v>
      </c>
      <c r="I75" s="19" t="s">
        <v>300</v>
      </c>
      <c r="J75" s="20" t="s">
        <v>301</v>
      </c>
      <c r="K75" s="19" t="s">
        <v>299</v>
      </c>
      <c r="L75" s="19"/>
      <c r="M75" s="19"/>
      <c r="N75" s="19">
        <v>4</v>
      </c>
      <c r="O75" s="19"/>
      <c r="P75" s="19">
        <v>1</v>
      </c>
      <c r="Q75" s="19">
        <v>1</v>
      </c>
      <c r="R75" s="19"/>
      <c r="S75" s="19" t="s">
        <v>340</v>
      </c>
      <c r="T75" s="19" t="s">
        <v>340</v>
      </c>
    </row>
    <row r="76" spans="1:20" ht="90" x14ac:dyDescent="0.25">
      <c r="A76" s="21" t="s">
        <v>302</v>
      </c>
      <c r="B76" s="22" t="s">
        <v>303</v>
      </c>
      <c r="C76" s="21" t="s">
        <v>304</v>
      </c>
      <c r="D76" s="21">
        <v>2048</v>
      </c>
      <c r="E76" s="21"/>
      <c r="F76" s="21"/>
      <c r="G76" s="21">
        <v>0</v>
      </c>
      <c r="H76" s="21">
        <v>1</v>
      </c>
      <c r="I76" s="21" t="s">
        <v>305</v>
      </c>
      <c r="J76" s="22" t="s">
        <v>306</v>
      </c>
      <c r="K76" s="21" t="s">
        <v>304</v>
      </c>
      <c r="L76" s="21"/>
      <c r="M76" s="30">
        <v>2048</v>
      </c>
      <c r="N76" s="21"/>
      <c r="O76" s="21"/>
      <c r="P76" s="21">
        <v>0</v>
      </c>
      <c r="Q76" s="21">
        <v>1</v>
      </c>
      <c r="R76" s="21"/>
      <c r="S76" s="31" t="s">
        <v>341</v>
      </c>
      <c r="T76" s="21" t="s">
        <v>342</v>
      </c>
    </row>
    <row r="77" spans="1:20" x14ac:dyDescent="0.25">
      <c r="A77" s="19" t="s">
        <v>308</v>
      </c>
      <c r="B77" s="20" t="s">
        <v>309</v>
      </c>
      <c r="C77" s="19" t="s">
        <v>310</v>
      </c>
      <c r="D77" s="19">
        <v>140</v>
      </c>
      <c r="E77" s="19"/>
      <c r="F77" s="19"/>
      <c r="G77" s="19">
        <v>0</v>
      </c>
      <c r="H77" s="19">
        <v>1</v>
      </c>
      <c r="I77" s="19" t="s">
        <v>311</v>
      </c>
      <c r="J77" s="20" t="s">
        <v>312</v>
      </c>
      <c r="K77" s="19" t="s">
        <v>310</v>
      </c>
      <c r="L77" s="19"/>
      <c r="M77" s="19">
        <v>140</v>
      </c>
      <c r="N77" s="19"/>
      <c r="O77" s="19"/>
      <c r="P77" s="19">
        <v>0</v>
      </c>
      <c r="Q77" s="19">
        <v>1</v>
      </c>
      <c r="R77" s="19"/>
      <c r="S77" s="19" t="s">
        <v>29</v>
      </c>
      <c r="T77" s="19" t="s">
        <v>29</v>
      </c>
    </row>
    <row r="78" spans="1:20" x14ac:dyDescent="0.25">
      <c r="A78" s="19" t="s">
        <v>314</v>
      </c>
      <c r="B78" s="20" t="s">
        <v>315</v>
      </c>
      <c r="C78" s="19" t="s">
        <v>316</v>
      </c>
      <c r="D78" s="19">
        <v>35</v>
      </c>
      <c r="E78" s="19"/>
      <c r="F78" s="19"/>
      <c r="G78" s="19">
        <v>1</v>
      </c>
      <c r="H78" s="19">
        <v>1</v>
      </c>
      <c r="I78" s="19" t="s">
        <v>317</v>
      </c>
      <c r="J78" s="20" t="s">
        <v>318</v>
      </c>
      <c r="K78" s="19" t="s">
        <v>316</v>
      </c>
      <c r="L78" s="19"/>
      <c r="M78" s="19">
        <v>35</v>
      </c>
      <c r="N78" s="19"/>
      <c r="O78" s="19"/>
      <c r="P78" s="19">
        <v>1</v>
      </c>
      <c r="Q78" s="19">
        <v>1</v>
      </c>
      <c r="R78" s="19"/>
      <c r="S78" s="19" t="s">
        <v>29</v>
      </c>
      <c r="T78" s="19" t="s">
        <v>29</v>
      </c>
    </row>
    <row r="79" spans="1:20" x14ac:dyDescent="0.25">
      <c r="A79" s="19" t="s">
        <v>319</v>
      </c>
      <c r="B79" s="20" t="s">
        <v>320</v>
      </c>
      <c r="C79" s="19" t="s">
        <v>321</v>
      </c>
      <c r="D79" s="19"/>
      <c r="E79" s="19">
        <v>10</v>
      </c>
      <c r="F79" s="19"/>
      <c r="G79" s="19">
        <v>1</v>
      </c>
      <c r="H79" s="19">
        <v>1</v>
      </c>
      <c r="I79" s="19" t="s">
        <v>322</v>
      </c>
      <c r="J79" s="20" t="s">
        <v>323</v>
      </c>
      <c r="K79" s="19" t="s">
        <v>321</v>
      </c>
      <c r="L79" s="19"/>
      <c r="M79" s="19"/>
      <c r="N79" s="19">
        <v>10</v>
      </c>
      <c r="O79" s="19"/>
      <c r="P79" s="19">
        <v>1</v>
      </c>
      <c r="Q79" s="19">
        <v>1</v>
      </c>
      <c r="R79" s="19"/>
      <c r="S79" s="19" t="s">
        <v>29</v>
      </c>
      <c r="T79" s="19" t="s">
        <v>29</v>
      </c>
    </row>
    <row r="80" spans="1:20" x14ac:dyDescent="0.25">
      <c r="A80" s="23"/>
      <c r="B80" s="23"/>
      <c r="C80" s="23"/>
      <c r="D80" s="23"/>
      <c r="E80" s="23"/>
      <c r="F80" s="23"/>
      <c r="G80" s="23"/>
      <c r="H80" s="23"/>
      <c r="I80" s="23" t="s">
        <v>324</v>
      </c>
      <c r="J80" s="24" t="s">
        <v>325</v>
      </c>
      <c r="K80" s="23" t="s">
        <v>85</v>
      </c>
      <c r="L80" s="23"/>
      <c r="M80" s="23">
        <v>35</v>
      </c>
      <c r="N80" s="23"/>
      <c r="O80" s="23"/>
      <c r="P80" s="23">
        <v>1</v>
      </c>
      <c r="Q80" s="23">
        <v>1</v>
      </c>
      <c r="R80" s="23" t="s">
        <v>91</v>
      </c>
      <c r="S80" s="23" t="str">
        <f>IF(R80="NEW ELEMENT","N/A", check)</f>
        <v>N/A</v>
      </c>
      <c r="T80" s="23" t="s">
        <v>118</v>
      </c>
    </row>
    <row r="81" spans="1:20" x14ac:dyDescent="0.25">
      <c r="A81" s="23"/>
      <c r="B81" s="23"/>
      <c r="C81" s="23"/>
      <c r="D81" s="23"/>
      <c r="E81" s="23"/>
      <c r="F81" s="23"/>
      <c r="G81" s="23"/>
      <c r="H81" s="23"/>
      <c r="I81" s="23" t="s">
        <v>326</v>
      </c>
      <c r="J81" s="24" t="s">
        <v>327</v>
      </c>
      <c r="K81" s="23" t="s">
        <v>328</v>
      </c>
      <c r="L81" s="23"/>
      <c r="M81" s="23"/>
      <c r="N81" s="23"/>
      <c r="O81" s="23">
        <v>18</v>
      </c>
      <c r="P81" s="23">
        <v>1</v>
      </c>
      <c r="Q81" s="23">
        <v>1</v>
      </c>
      <c r="R81" s="23" t="s">
        <v>91</v>
      </c>
      <c r="S81" s="23" t="s">
        <v>118</v>
      </c>
      <c r="T81" s="23" t="s">
        <v>118</v>
      </c>
    </row>
    <row r="82" spans="1:20" x14ac:dyDescent="0.25">
      <c r="A82" s="23"/>
      <c r="B82" s="23"/>
      <c r="C82" s="23"/>
      <c r="D82" s="23"/>
      <c r="E82" s="23"/>
      <c r="F82" s="23"/>
      <c r="G82" s="23"/>
      <c r="H82" s="23"/>
      <c r="I82" s="23" t="s">
        <v>329</v>
      </c>
      <c r="J82" s="24" t="s">
        <v>330</v>
      </c>
      <c r="K82" s="23" t="s">
        <v>54</v>
      </c>
      <c r="L82" s="23"/>
      <c r="M82" s="23"/>
      <c r="N82" s="23">
        <v>3</v>
      </c>
      <c r="O82" s="23"/>
      <c r="P82" s="23"/>
      <c r="Q82" s="23"/>
      <c r="R82" s="23" t="s">
        <v>91</v>
      </c>
      <c r="S82" s="23" t="s">
        <v>118</v>
      </c>
      <c r="T82" s="23" t="s">
        <v>118</v>
      </c>
    </row>
  </sheetData>
  <pageMargins left="0.7" right="0.7" top="0.75" bottom="0.75" header="0.51180555555555496" footer="0.3"/>
  <pageSetup paperSize="9" firstPageNumber="0" orientation="portrait" horizontalDpi="300" verticalDpi="300" r:id="rId1"/>
  <headerFooter>
    <oddFooter>&amp;C&amp;"Calibri"&amp;11&amp;K000000Confidential_x000D_x000D_&amp;1#&amp;"Calibri"&amp;10&amp;K000000Confidential / Internal Use Only</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1"/>
  <sheetViews>
    <sheetView zoomScale="75" zoomScaleNormal="75" workbookViewId="0">
      <pane ySplit="1" topLeftCell="A2" activePane="bottomLeft" state="frozen"/>
      <selection activeCell="K1" sqref="K1"/>
      <selection pane="bottomLeft" activeCell="A15" sqref="A15"/>
    </sheetView>
  </sheetViews>
  <sheetFormatPr defaultRowHeight="15" x14ac:dyDescent="0.25"/>
  <cols>
    <col min="1" max="1" width="79.7109375" customWidth="1"/>
    <col min="2" max="2" width="16" customWidth="1"/>
    <col min="3" max="3" width="8.5703125" customWidth="1"/>
    <col min="4" max="4" width="7" customWidth="1"/>
    <col min="5" max="5" width="7.28515625" customWidth="1"/>
    <col min="6" max="6" width="5.42578125" customWidth="1"/>
    <col min="7" max="7" width="5.140625" customWidth="1"/>
    <col min="8" max="8" width="5.28515625" customWidth="1"/>
    <col min="9" max="9" width="79.7109375" customWidth="1"/>
    <col min="10" max="10" width="16" customWidth="1"/>
    <col min="11" max="11" width="8.5703125" customWidth="1"/>
    <col min="12" max="12" width="11.5703125" hidden="1"/>
    <col min="13" max="17" width="8.5703125" customWidth="1"/>
    <col min="18" max="18" width="10.140625" customWidth="1"/>
    <col min="19" max="19" width="25.7109375" customWidth="1"/>
    <col min="20" max="20" width="28.140625" customWidth="1"/>
    <col min="21" max="1025" width="8.5703125" customWidth="1"/>
  </cols>
  <sheetData>
    <row r="1" spans="1:20"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344</v>
      </c>
      <c r="T1" s="11" t="s">
        <v>345</v>
      </c>
    </row>
    <row r="2" spans="1:20" x14ac:dyDescent="0.25">
      <c r="A2" s="12" t="s">
        <v>346</v>
      </c>
      <c r="B2" s="13" t="s">
        <v>26</v>
      </c>
      <c r="C2" s="12" t="s">
        <v>27</v>
      </c>
      <c r="D2" s="12">
        <v>35</v>
      </c>
      <c r="E2" s="12"/>
      <c r="F2" s="12"/>
      <c r="G2" s="12">
        <v>1</v>
      </c>
      <c r="H2" s="12">
        <v>1</v>
      </c>
      <c r="I2" s="12" t="s">
        <v>346</v>
      </c>
      <c r="J2" s="13" t="s">
        <v>26</v>
      </c>
      <c r="K2" s="12" t="s">
        <v>27</v>
      </c>
      <c r="L2" s="12"/>
      <c r="M2" s="12">
        <v>35</v>
      </c>
      <c r="N2" s="12"/>
      <c r="O2" s="12"/>
      <c r="P2" s="12">
        <v>1</v>
      </c>
      <c r="Q2" s="12">
        <v>1</v>
      </c>
      <c r="R2" s="12"/>
      <c r="S2" s="12" t="s">
        <v>29</v>
      </c>
      <c r="T2" s="12" t="s">
        <v>29</v>
      </c>
    </row>
    <row r="3" spans="1:20" x14ac:dyDescent="0.25">
      <c r="A3" s="12" t="s">
        <v>347</v>
      </c>
      <c r="B3" s="13" t="s">
        <v>35</v>
      </c>
      <c r="C3" s="12" t="s">
        <v>36</v>
      </c>
      <c r="D3" s="12"/>
      <c r="E3" s="12">
        <v>19</v>
      </c>
      <c r="F3" s="12"/>
      <c r="G3" s="12">
        <v>1</v>
      </c>
      <c r="H3" s="12">
        <v>1</v>
      </c>
      <c r="I3" s="12" t="s">
        <v>347</v>
      </c>
      <c r="J3" s="13" t="s">
        <v>35</v>
      </c>
      <c r="K3" s="12" t="s">
        <v>36</v>
      </c>
      <c r="L3" s="12"/>
      <c r="M3" s="12"/>
      <c r="N3" s="12">
        <v>19</v>
      </c>
      <c r="O3" s="12"/>
      <c r="P3" s="12">
        <v>1</v>
      </c>
      <c r="Q3" s="12">
        <v>1</v>
      </c>
      <c r="R3" s="12"/>
      <c r="S3" s="12" t="s">
        <v>29</v>
      </c>
      <c r="T3" s="12" t="s">
        <v>29</v>
      </c>
    </row>
    <row r="4" spans="1:20" x14ac:dyDescent="0.25">
      <c r="A4" s="12" t="s">
        <v>348</v>
      </c>
      <c r="B4" s="13" t="s">
        <v>349</v>
      </c>
      <c r="C4" s="12" t="s">
        <v>350</v>
      </c>
      <c r="D4" s="12">
        <v>35</v>
      </c>
      <c r="E4" s="12"/>
      <c r="F4" s="12"/>
      <c r="G4" s="12">
        <v>1</v>
      </c>
      <c r="H4" s="12">
        <v>1</v>
      </c>
      <c r="I4" s="12" t="s">
        <v>348</v>
      </c>
      <c r="J4" s="13" t="s">
        <v>349</v>
      </c>
      <c r="K4" s="12" t="s">
        <v>350</v>
      </c>
      <c r="L4" s="12"/>
      <c r="M4" s="12">
        <v>35</v>
      </c>
      <c r="N4" s="12"/>
      <c r="O4" s="12"/>
      <c r="P4" s="12">
        <v>1</v>
      </c>
      <c r="Q4" s="12">
        <v>1</v>
      </c>
      <c r="R4" s="12"/>
      <c r="S4" s="12" t="s">
        <v>29</v>
      </c>
      <c r="T4" s="12" t="s">
        <v>29</v>
      </c>
    </row>
    <row r="5" spans="1:20" x14ac:dyDescent="0.25">
      <c r="A5" s="12" t="s">
        <v>351</v>
      </c>
      <c r="B5" s="13" t="s">
        <v>63</v>
      </c>
      <c r="C5" s="12" t="s">
        <v>352</v>
      </c>
      <c r="D5" s="12">
        <v>35</v>
      </c>
      <c r="E5" s="12"/>
      <c r="F5" s="12"/>
      <c r="G5" s="12">
        <v>1</v>
      </c>
      <c r="H5" s="12">
        <v>1</v>
      </c>
      <c r="I5" s="12" t="s">
        <v>351</v>
      </c>
      <c r="J5" s="13" t="s">
        <v>63</v>
      </c>
      <c r="K5" s="12" t="s">
        <v>352</v>
      </c>
      <c r="L5" s="12"/>
      <c r="M5" s="12">
        <v>35</v>
      </c>
      <c r="N5" s="12"/>
      <c r="O5" s="12"/>
      <c r="P5" s="12">
        <v>1</v>
      </c>
      <c r="Q5" s="12">
        <v>1</v>
      </c>
      <c r="R5" s="12"/>
      <c r="S5" s="12" t="s">
        <v>353</v>
      </c>
      <c r="T5" s="12" t="s">
        <v>353</v>
      </c>
    </row>
    <row r="6" spans="1:20" x14ac:dyDescent="0.25">
      <c r="A6" s="12" t="s">
        <v>354</v>
      </c>
      <c r="B6" s="13" t="s">
        <v>67</v>
      </c>
      <c r="C6" s="12" t="s">
        <v>355</v>
      </c>
      <c r="D6" s="12"/>
      <c r="E6" s="12">
        <v>19</v>
      </c>
      <c r="F6" s="12"/>
      <c r="G6" s="12">
        <v>1</v>
      </c>
      <c r="H6" s="12">
        <v>1</v>
      </c>
      <c r="I6" s="12" t="s">
        <v>354</v>
      </c>
      <c r="J6" s="13" t="s">
        <v>67</v>
      </c>
      <c r="K6" s="12" t="s">
        <v>355</v>
      </c>
      <c r="L6" s="12"/>
      <c r="M6" s="12"/>
      <c r="N6" s="12">
        <v>19</v>
      </c>
      <c r="O6" s="12"/>
      <c r="P6" s="12">
        <v>1</v>
      </c>
      <c r="Q6" s="12">
        <v>1</v>
      </c>
      <c r="R6" s="12"/>
      <c r="S6" s="12" t="s">
        <v>29</v>
      </c>
      <c r="T6" s="12" t="s">
        <v>29</v>
      </c>
    </row>
    <row r="7" spans="1:20" x14ac:dyDescent="0.25">
      <c r="A7" s="12" t="s">
        <v>356</v>
      </c>
      <c r="B7" s="13" t="s">
        <v>71</v>
      </c>
      <c r="C7" s="12" t="s">
        <v>357</v>
      </c>
      <c r="D7" s="12"/>
      <c r="E7" s="12">
        <v>1</v>
      </c>
      <c r="F7" s="12"/>
      <c r="G7" s="12">
        <v>1</v>
      </c>
      <c r="H7" s="12">
        <v>1</v>
      </c>
      <c r="I7" s="12" t="s">
        <v>356</v>
      </c>
      <c r="J7" s="13" t="s">
        <v>71</v>
      </c>
      <c r="K7" s="12" t="s">
        <v>357</v>
      </c>
      <c r="L7" s="12"/>
      <c r="M7" s="12"/>
      <c r="N7" s="12">
        <v>1</v>
      </c>
      <c r="O7" s="12"/>
      <c r="P7" s="12">
        <v>1</v>
      </c>
      <c r="Q7" s="12">
        <v>1</v>
      </c>
      <c r="R7" s="12"/>
      <c r="S7" s="12" t="s">
        <v>29</v>
      </c>
      <c r="T7" s="12" t="s">
        <v>29</v>
      </c>
    </row>
    <row r="8" spans="1:20" x14ac:dyDescent="0.25">
      <c r="A8" s="12" t="s">
        <v>358</v>
      </c>
      <c r="B8" s="13" t="s">
        <v>359</v>
      </c>
      <c r="C8" s="12" t="s">
        <v>360</v>
      </c>
      <c r="D8" s="12">
        <v>35</v>
      </c>
      <c r="E8" s="12"/>
      <c r="F8" s="12"/>
      <c r="G8" s="12">
        <v>1</v>
      </c>
      <c r="H8" s="12">
        <v>1</v>
      </c>
      <c r="I8" s="12" t="s">
        <v>358</v>
      </c>
      <c r="J8" s="13" t="s">
        <v>359</v>
      </c>
      <c r="K8" s="12" t="s">
        <v>360</v>
      </c>
      <c r="L8" s="12"/>
      <c r="M8" s="12">
        <v>35</v>
      </c>
      <c r="N8" s="12"/>
      <c r="O8" s="12"/>
      <c r="P8" s="12">
        <v>1</v>
      </c>
      <c r="Q8" s="12">
        <v>1</v>
      </c>
      <c r="R8" s="12"/>
      <c r="S8" s="12" t="s">
        <v>29</v>
      </c>
      <c r="T8" s="12" t="s">
        <v>29</v>
      </c>
    </row>
    <row r="9" spans="1:20" x14ac:dyDescent="0.25">
      <c r="A9" s="12" t="s">
        <v>361</v>
      </c>
      <c r="B9" s="13" t="s">
        <v>362</v>
      </c>
      <c r="C9" s="12" t="s">
        <v>363</v>
      </c>
      <c r="D9" s="12">
        <v>35</v>
      </c>
      <c r="E9" s="12"/>
      <c r="F9" s="12"/>
      <c r="G9" s="12">
        <v>0</v>
      </c>
      <c r="H9" s="12">
        <v>1</v>
      </c>
      <c r="I9" s="12" t="s">
        <v>361</v>
      </c>
      <c r="J9" s="13" t="s">
        <v>362</v>
      </c>
      <c r="K9" s="12" t="s">
        <v>363</v>
      </c>
      <c r="L9" s="12"/>
      <c r="M9" s="12">
        <v>35</v>
      </c>
      <c r="N9" s="12"/>
      <c r="O9" s="12"/>
      <c r="P9" s="12">
        <v>0</v>
      </c>
      <c r="Q9" s="12">
        <v>1</v>
      </c>
      <c r="R9" s="12"/>
      <c r="S9" s="12" t="s">
        <v>29</v>
      </c>
      <c r="T9" s="12" t="s">
        <v>29</v>
      </c>
    </row>
    <row r="10" spans="1:20" x14ac:dyDescent="0.25">
      <c r="A10" s="12" t="s">
        <v>364</v>
      </c>
      <c r="B10" s="13" t="s">
        <v>365</v>
      </c>
      <c r="C10" s="12" t="s">
        <v>366</v>
      </c>
      <c r="D10" s="12">
        <v>4</v>
      </c>
      <c r="E10" s="12"/>
      <c r="F10" s="12"/>
      <c r="G10" s="12">
        <v>1</v>
      </c>
      <c r="H10" s="12">
        <v>1</v>
      </c>
      <c r="I10" s="12" t="s">
        <v>364</v>
      </c>
      <c r="J10" s="13" t="s">
        <v>367</v>
      </c>
      <c r="K10" s="12" t="s">
        <v>366</v>
      </c>
      <c r="L10" s="12"/>
      <c r="M10" s="12">
        <v>4</v>
      </c>
      <c r="N10" s="12"/>
      <c r="O10" s="12"/>
      <c r="P10" s="12">
        <v>1</v>
      </c>
      <c r="Q10" s="12">
        <v>1</v>
      </c>
      <c r="R10" s="12"/>
      <c r="S10" s="12" t="s">
        <v>29</v>
      </c>
      <c r="T10" s="12" t="s">
        <v>29</v>
      </c>
    </row>
    <row r="11" spans="1:20" x14ac:dyDescent="0.25">
      <c r="A11" s="12" t="s">
        <v>368</v>
      </c>
      <c r="B11" s="13" t="s">
        <v>369</v>
      </c>
      <c r="C11" s="12" t="s">
        <v>40</v>
      </c>
      <c r="D11" s="12">
        <v>4</v>
      </c>
      <c r="E11" s="12"/>
      <c r="F11" s="12"/>
      <c r="G11" s="12">
        <v>1</v>
      </c>
      <c r="H11" s="12">
        <v>1</v>
      </c>
      <c r="I11" s="12" t="s">
        <v>368</v>
      </c>
      <c r="J11" s="13" t="s">
        <v>370</v>
      </c>
      <c r="K11" s="12" t="s">
        <v>40</v>
      </c>
      <c r="L11" s="12"/>
      <c r="M11" s="12">
        <v>4</v>
      </c>
      <c r="N11" s="12"/>
      <c r="O11" s="12"/>
      <c r="P11" s="12">
        <v>1</v>
      </c>
      <c r="Q11" s="12">
        <v>1</v>
      </c>
      <c r="R11" s="12"/>
      <c r="S11" s="12" t="s">
        <v>371</v>
      </c>
      <c r="T11" s="12" t="s">
        <v>371</v>
      </c>
    </row>
    <row r="12" spans="1:20" x14ac:dyDescent="0.25">
      <c r="A12" s="12" t="s">
        <v>372</v>
      </c>
      <c r="B12" s="13" t="s">
        <v>373</v>
      </c>
      <c r="C12" s="12" t="s">
        <v>85</v>
      </c>
      <c r="D12" s="12"/>
      <c r="E12" s="12"/>
      <c r="F12" s="12"/>
      <c r="G12" s="12">
        <v>1</v>
      </c>
      <c r="H12" s="12">
        <v>1</v>
      </c>
      <c r="I12" s="12" t="s">
        <v>372</v>
      </c>
      <c r="J12" s="13" t="s">
        <v>374</v>
      </c>
      <c r="K12" s="12" t="s">
        <v>85</v>
      </c>
      <c r="L12" s="12"/>
      <c r="M12" s="12"/>
      <c r="N12" s="12"/>
      <c r="O12" s="12"/>
      <c r="P12" s="12">
        <v>1</v>
      </c>
      <c r="Q12" s="12">
        <v>1</v>
      </c>
      <c r="R12" s="12"/>
      <c r="S12" s="12" t="s">
        <v>375</v>
      </c>
      <c r="T12" s="12" t="s">
        <v>371</v>
      </c>
    </row>
    <row r="13" spans="1:20" x14ac:dyDescent="0.25">
      <c r="A13" s="12" t="s">
        <v>376</v>
      </c>
      <c r="B13" s="13" t="s">
        <v>377</v>
      </c>
      <c r="C13" s="12" t="s">
        <v>378</v>
      </c>
      <c r="D13" s="12">
        <v>105</v>
      </c>
      <c r="E13" s="12"/>
      <c r="F13" s="12"/>
      <c r="G13" s="12">
        <v>0</v>
      </c>
      <c r="H13" s="12">
        <v>1</v>
      </c>
      <c r="I13" s="12" t="s">
        <v>376</v>
      </c>
      <c r="J13" s="13" t="s">
        <v>379</v>
      </c>
      <c r="K13" s="12" t="s">
        <v>378</v>
      </c>
      <c r="L13" s="12"/>
      <c r="M13" s="12">
        <v>105</v>
      </c>
      <c r="N13" s="12"/>
      <c r="O13" s="12"/>
      <c r="P13" s="12">
        <v>0</v>
      </c>
      <c r="Q13" s="12">
        <v>1</v>
      </c>
      <c r="R13" s="12"/>
      <c r="S13" s="12" t="s">
        <v>375</v>
      </c>
      <c r="T13" s="12" t="s">
        <v>371</v>
      </c>
    </row>
    <row r="14" spans="1:20" x14ac:dyDescent="0.25">
      <c r="A14" s="12" t="s">
        <v>380</v>
      </c>
      <c r="B14" s="13" t="s">
        <v>381</v>
      </c>
      <c r="C14" s="12" t="s">
        <v>382</v>
      </c>
      <c r="D14" s="12"/>
      <c r="E14" s="12">
        <v>19</v>
      </c>
      <c r="F14" s="12"/>
      <c r="G14" s="12">
        <v>1</v>
      </c>
      <c r="H14" s="12">
        <v>1</v>
      </c>
      <c r="I14" s="12" t="s">
        <v>380</v>
      </c>
      <c r="J14" s="13" t="s">
        <v>383</v>
      </c>
      <c r="K14" s="12" t="s">
        <v>382</v>
      </c>
      <c r="L14" s="12"/>
      <c r="M14" s="12"/>
      <c r="N14" s="12">
        <v>19</v>
      </c>
      <c r="O14" s="12"/>
      <c r="P14" s="12">
        <v>1</v>
      </c>
      <c r="Q14" s="12">
        <v>1</v>
      </c>
      <c r="R14" s="12"/>
      <c r="S14" s="12" t="s">
        <v>29</v>
      </c>
      <c r="T14" s="12" t="s">
        <v>29</v>
      </c>
    </row>
    <row r="15" spans="1:20" x14ac:dyDescent="0.25">
      <c r="A15" s="12" t="s">
        <v>384</v>
      </c>
      <c r="B15" s="13" t="s">
        <v>385</v>
      </c>
      <c r="C15" s="12" t="s">
        <v>76</v>
      </c>
      <c r="D15" s="12">
        <v>35</v>
      </c>
      <c r="E15" s="12"/>
      <c r="F15" s="12"/>
      <c r="G15" s="12">
        <v>0</v>
      </c>
      <c r="H15" s="12">
        <v>1</v>
      </c>
      <c r="I15" s="12" t="s">
        <v>384</v>
      </c>
      <c r="J15" s="13" t="s">
        <v>386</v>
      </c>
      <c r="K15" s="12" t="s">
        <v>76</v>
      </c>
      <c r="L15" s="12"/>
      <c r="M15" s="12">
        <v>35</v>
      </c>
      <c r="N15" s="12"/>
      <c r="O15" s="12"/>
      <c r="P15" s="12">
        <v>0</v>
      </c>
      <c r="Q15" s="12">
        <v>1</v>
      </c>
      <c r="R15" s="12"/>
      <c r="S15" s="12" t="s">
        <v>29</v>
      </c>
      <c r="T15" s="12" t="s">
        <v>29</v>
      </c>
    </row>
    <row r="16" spans="1:20" s="14" customFormat="1" x14ac:dyDescent="0.25">
      <c r="A16" s="14" t="s">
        <v>387</v>
      </c>
      <c r="B16" s="15" t="s">
        <v>388</v>
      </c>
      <c r="C16" s="14" t="s">
        <v>106</v>
      </c>
      <c r="D16" s="14">
        <v>9</v>
      </c>
      <c r="G16" s="14">
        <v>1</v>
      </c>
      <c r="H16" s="14">
        <v>1</v>
      </c>
      <c r="I16" s="14" t="s">
        <v>387</v>
      </c>
      <c r="J16" s="15" t="s">
        <v>389</v>
      </c>
      <c r="K16" s="14" t="s">
        <v>106</v>
      </c>
      <c r="M16" s="14">
        <v>9</v>
      </c>
      <c r="P16" s="14">
        <v>1</v>
      </c>
      <c r="Q16" s="14">
        <v>1</v>
      </c>
      <c r="S16" s="14" t="s">
        <v>29</v>
      </c>
      <c r="T16" s="32" t="s">
        <v>390</v>
      </c>
    </row>
    <row r="17" spans="1:20" s="14" customFormat="1" x14ac:dyDescent="0.25">
      <c r="A17" s="14" t="s">
        <v>391</v>
      </c>
      <c r="B17" s="15" t="s">
        <v>392</v>
      </c>
      <c r="C17" s="14" t="s">
        <v>106</v>
      </c>
      <c r="D17" s="14">
        <v>9</v>
      </c>
      <c r="G17" s="14">
        <v>1</v>
      </c>
      <c r="H17" s="14">
        <v>1</v>
      </c>
      <c r="I17" s="14" t="s">
        <v>391</v>
      </c>
      <c r="J17" s="15" t="s">
        <v>393</v>
      </c>
      <c r="K17" s="14" t="s">
        <v>106</v>
      </c>
      <c r="M17" s="14">
        <v>9</v>
      </c>
      <c r="P17" s="14">
        <v>1</v>
      </c>
      <c r="Q17" s="14">
        <v>1</v>
      </c>
      <c r="S17" s="14" t="s">
        <v>29</v>
      </c>
      <c r="T17" s="32" t="s">
        <v>390</v>
      </c>
    </row>
    <row r="18" spans="1:20" x14ac:dyDescent="0.25">
      <c r="A18" s="12" t="s">
        <v>394</v>
      </c>
      <c r="B18" s="13" t="s">
        <v>395</v>
      </c>
      <c r="C18" s="12" t="s">
        <v>93</v>
      </c>
      <c r="D18" s="12"/>
      <c r="E18" s="12"/>
      <c r="F18" s="12">
        <v>18</v>
      </c>
      <c r="G18" s="12">
        <v>0</v>
      </c>
      <c r="H18" s="12">
        <v>1</v>
      </c>
      <c r="I18" s="12" t="s">
        <v>394</v>
      </c>
      <c r="J18" s="13" t="s">
        <v>396</v>
      </c>
      <c r="K18" s="12" t="s">
        <v>93</v>
      </c>
      <c r="L18" s="12"/>
      <c r="M18" s="12"/>
      <c r="N18" s="12"/>
      <c r="O18" s="12">
        <v>18</v>
      </c>
      <c r="P18" s="12">
        <v>0</v>
      </c>
      <c r="Q18" s="12">
        <v>1</v>
      </c>
      <c r="R18" s="12"/>
      <c r="S18" s="12" t="s">
        <v>29</v>
      </c>
      <c r="T18" s="12" t="s">
        <v>29</v>
      </c>
    </row>
    <row r="19" spans="1:20" x14ac:dyDescent="0.25">
      <c r="A19" s="12" t="s">
        <v>397</v>
      </c>
      <c r="B19" s="13" t="s">
        <v>398</v>
      </c>
      <c r="C19" s="12" t="s">
        <v>54</v>
      </c>
      <c r="D19" s="12">
        <v>3</v>
      </c>
      <c r="E19" s="12"/>
      <c r="F19" s="12"/>
      <c r="G19" s="12"/>
      <c r="H19" s="12"/>
      <c r="I19" s="12" t="s">
        <v>397</v>
      </c>
      <c r="J19" s="13" t="s">
        <v>399</v>
      </c>
      <c r="K19" s="12" t="s">
        <v>54</v>
      </c>
      <c r="L19" s="12"/>
      <c r="M19" s="12"/>
      <c r="N19" s="12">
        <v>3</v>
      </c>
      <c r="O19" s="12"/>
      <c r="P19" s="12"/>
      <c r="Q19" s="12"/>
      <c r="R19" s="12"/>
      <c r="S19" s="12" t="s">
        <v>29</v>
      </c>
      <c r="T19" s="12" t="s">
        <v>29</v>
      </c>
    </row>
    <row r="20" spans="1:20" x14ac:dyDescent="0.25">
      <c r="A20" s="12" t="s">
        <v>400</v>
      </c>
      <c r="B20" s="13" t="s">
        <v>401</v>
      </c>
      <c r="C20" s="12" t="s">
        <v>58</v>
      </c>
      <c r="D20" s="12"/>
      <c r="E20" s="12"/>
      <c r="F20" s="12"/>
      <c r="G20" s="12">
        <v>0</v>
      </c>
      <c r="H20" s="12">
        <v>1</v>
      </c>
      <c r="I20" s="12" t="s">
        <v>400</v>
      </c>
      <c r="J20" s="13" t="s">
        <v>402</v>
      </c>
      <c r="K20" s="12" t="s">
        <v>58</v>
      </c>
      <c r="L20" s="12"/>
      <c r="M20" s="12"/>
      <c r="N20" s="12"/>
      <c r="O20" s="12"/>
      <c r="P20" s="12">
        <v>0</v>
      </c>
      <c r="Q20" s="12">
        <v>1</v>
      </c>
      <c r="R20" s="12"/>
      <c r="S20" s="12" t="s">
        <v>29</v>
      </c>
      <c r="T20" s="12" t="s">
        <v>29</v>
      </c>
    </row>
    <row r="21" spans="1:20" x14ac:dyDescent="0.25">
      <c r="B21" s="33"/>
      <c r="J21" s="33"/>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1"/>
  <sheetViews>
    <sheetView tabSelected="1" topLeftCell="N1" zoomScale="75" zoomScaleNormal="75" workbookViewId="0">
      <pane ySplit="1" topLeftCell="A36" activePane="bottomLeft" state="frozen"/>
      <selection activeCell="N1" sqref="N1"/>
      <selection pane="bottomLeft" activeCell="T1" sqref="T1"/>
    </sheetView>
  </sheetViews>
  <sheetFormatPr defaultRowHeight="15" x14ac:dyDescent="0.25"/>
  <cols>
    <col min="1" max="1" width="15.140625" customWidth="1"/>
    <col min="2" max="2" width="8.7109375" customWidth="1"/>
    <col min="3" max="3" width="14.42578125" customWidth="1"/>
    <col min="4" max="4" width="9.28515625" customWidth="1"/>
    <col min="5" max="5" width="10.28515625" customWidth="1"/>
    <col min="6" max="6" width="7.5703125" customWidth="1"/>
    <col min="7" max="7" width="6.85546875" customWidth="1"/>
    <col min="8" max="8" width="6.7109375" customWidth="1"/>
    <col min="9" max="9" width="92.140625" customWidth="1"/>
    <col min="10" max="10" width="7.85546875" customWidth="1"/>
    <col min="11" max="11" width="16.85546875" customWidth="1"/>
    <col min="12" max="12" width="11.5703125" hidden="1"/>
    <col min="13" max="13" width="8.5703125" customWidth="1"/>
    <col min="14" max="14" width="10.85546875" customWidth="1"/>
    <col min="15" max="15" width="7.140625" customWidth="1"/>
    <col min="16" max="16" width="7" customWidth="1"/>
    <col min="17" max="17" width="7.28515625" customWidth="1"/>
    <col min="18" max="18" width="15.140625" customWidth="1"/>
    <col min="19" max="20" width="37.7109375" customWidth="1"/>
    <col min="21" max="1025" width="8.5703125" customWidth="1"/>
  </cols>
  <sheetData>
    <row r="1" spans="1:20" s="4" customFormat="1"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23</v>
      </c>
      <c r="T1" s="11" t="s">
        <v>24</v>
      </c>
    </row>
    <row r="2" spans="1:20" x14ac:dyDescent="0.25">
      <c r="A2" s="12" t="s">
        <v>403</v>
      </c>
      <c r="B2" s="13" t="s">
        <v>26</v>
      </c>
      <c r="C2" s="12" t="s">
        <v>27</v>
      </c>
      <c r="D2" s="12">
        <v>35</v>
      </c>
      <c r="E2" s="12"/>
      <c r="F2" s="12"/>
      <c r="G2" s="12">
        <v>1</v>
      </c>
      <c r="H2" s="12">
        <v>1</v>
      </c>
      <c r="I2" s="12" t="s">
        <v>403</v>
      </c>
      <c r="J2" s="13" t="s">
        <v>26</v>
      </c>
      <c r="K2" s="12" t="s">
        <v>27</v>
      </c>
      <c r="L2" s="12"/>
      <c r="M2" s="12">
        <v>35</v>
      </c>
      <c r="N2" s="12"/>
      <c r="O2" s="12"/>
      <c r="P2" s="12">
        <v>1</v>
      </c>
      <c r="Q2" s="12">
        <v>1</v>
      </c>
      <c r="R2" s="12"/>
      <c r="S2" s="12" t="s">
        <v>29</v>
      </c>
      <c r="T2" s="12" t="s">
        <v>29</v>
      </c>
    </row>
    <row r="3" spans="1:20" x14ac:dyDescent="0.25">
      <c r="A3" s="12" t="s">
        <v>404</v>
      </c>
      <c r="B3" s="13" t="s">
        <v>35</v>
      </c>
      <c r="C3" s="12" t="s">
        <v>36</v>
      </c>
      <c r="D3" s="12"/>
      <c r="E3" s="12">
        <v>19</v>
      </c>
      <c r="F3" s="12"/>
      <c r="G3" s="12">
        <v>1</v>
      </c>
      <c r="H3" s="12">
        <v>1</v>
      </c>
      <c r="I3" s="12" t="s">
        <v>404</v>
      </c>
      <c r="J3" s="13" t="s">
        <v>35</v>
      </c>
      <c r="K3" s="12" t="s">
        <v>36</v>
      </c>
      <c r="L3" s="12"/>
      <c r="M3" s="12"/>
      <c r="N3" s="12">
        <v>19</v>
      </c>
      <c r="O3" s="12"/>
      <c r="P3" s="12">
        <v>1</v>
      </c>
      <c r="Q3" s="12">
        <v>1</v>
      </c>
      <c r="R3" s="12"/>
      <c r="S3" s="12" t="s">
        <v>29</v>
      </c>
      <c r="T3" s="12" t="s">
        <v>29</v>
      </c>
    </row>
    <row r="4" spans="1:20" x14ac:dyDescent="0.25">
      <c r="A4" s="12" t="s">
        <v>405</v>
      </c>
      <c r="B4" s="13" t="s">
        <v>406</v>
      </c>
      <c r="C4" s="12" t="s">
        <v>46</v>
      </c>
      <c r="D4" s="12"/>
      <c r="E4" s="12"/>
      <c r="F4" s="12"/>
      <c r="G4" s="12">
        <v>1</v>
      </c>
      <c r="H4" s="12">
        <v>1</v>
      </c>
      <c r="I4" s="12" t="s">
        <v>405</v>
      </c>
      <c r="J4" s="13" t="s">
        <v>406</v>
      </c>
      <c r="K4" s="12" t="s">
        <v>46</v>
      </c>
      <c r="L4" s="12"/>
      <c r="M4" s="12"/>
      <c r="N4" s="12">
        <v>1</v>
      </c>
      <c r="O4" s="12"/>
      <c r="P4" s="12">
        <v>1</v>
      </c>
      <c r="Q4" s="12">
        <v>1</v>
      </c>
      <c r="R4" s="12"/>
      <c r="S4" s="12" t="s">
        <v>29</v>
      </c>
      <c r="T4" s="12" t="s">
        <v>29</v>
      </c>
    </row>
    <row r="5" spans="1:20" x14ac:dyDescent="0.25">
      <c r="A5" s="12" t="s">
        <v>407</v>
      </c>
      <c r="B5" s="13" t="s">
        <v>408</v>
      </c>
      <c r="C5" s="12" t="s">
        <v>148</v>
      </c>
      <c r="D5" s="12">
        <v>9</v>
      </c>
      <c r="E5" s="12"/>
      <c r="F5" s="12"/>
      <c r="G5" s="12">
        <v>1</v>
      </c>
      <c r="H5" s="12">
        <v>1</v>
      </c>
      <c r="I5" s="12" t="s">
        <v>407</v>
      </c>
      <c r="J5" s="13" t="s">
        <v>409</v>
      </c>
      <c r="K5" s="12" t="s">
        <v>148</v>
      </c>
      <c r="L5" s="12"/>
      <c r="M5" s="12">
        <v>9</v>
      </c>
      <c r="N5" s="12"/>
      <c r="O5" s="12"/>
      <c r="P5" s="12">
        <v>1</v>
      </c>
      <c r="Q5" s="12">
        <v>1</v>
      </c>
      <c r="R5" s="12"/>
      <c r="S5" s="12" t="s">
        <v>43</v>
      </c>
      <c r="T5" s="12" t="s">
        <v>29</v>
      </c>
    </row>
    <row r="6" spans="1:20" x14ac:dyDescent="0.25">
      <c r="A6" s="12" t="s">
        <v>410</v>
      </c>
      <c r="B6" s="13" t="s">
        <v>349</v>
      </c>
      <c r="C6" s="12" t="s">
        <v>411</v>
      </c>
      <c r="D6" s="12">
        <v>35</v>
      </c>
      <c r="E6" s="12"/>
      <c r="F6" s="12"/>
      <c r="G6" s="12">
        <v>1</v>
      </c>
      <c r="H6" s="12">
        <v>1</v>
      </c>
      <c r="I6" s="12" t="s">
        <v>410</v>
      </c>
      <c r="J6" s="13" t="s">
        <v>349</v>
      </c>
      <c r="K6" s="12" t="s">
        <v>411</v>
      </c>
      <c r="L6" s="12"/>
      <c r="M6" s="12">
        <v>35</v>
      </c>
      <c r="N6" s="12"/>
      <c r="O6" s="12"/>
      <c r="P6" s="12">
        <v>1</v>
      </c>
      <c r="Q6" s="12">
        <v>1</v>
      </c>
      <c r="R6" s="12"/>
      <c r="S6" s="12" t="s">
        <v>29</v>
      </c>
      <c r="T6" s="12" t="s">
        <v>29</v>
      </c>
    </row>
    <row r="7" spans="1:20" x14ac:dyDescent="0.25">
      <c r="A7" s="12" t="s">
        <v>412</v>
      </c>
      <c r="B7" s="13" t="s">
        <v>63</v>
      </c>
      <c r="C7" s="12" t="s">
        <v>413</v>
      </c>
      <c r="D7" s="12"/>
      <c r="E7" s="12"/>
      <c r="F7" s="12"/>
      <c r="G7" s="12">
        <v>1</v>
      </c>
      <c r="H7" s="12">
        <v>1</v>
      </c>
      <c r="I7" s="12" t="s">
        <v>412</v>
      </c>
      <c r="J7" s="13" t="s">
        <v>63</v>
      </c>
      <c r="K7" s="12" t="s">
        <v>413</v>
      </c>
      <c r="L7" s="12"/>
      <c r="M7" s="12"/>
      <c r="N7" s="12">
        <v>3</v>
      </c>
      <c r="O7" s="12"/>
      <c r="P7" s="12">
        <v>1</v>
      </c>
      <c r="Q7" s="12">
        <v>1</v>
      </c>
      <c r="R7" s="12"/>
      <c r="S7" s="12" t="s">
        <v>29</v>
      </c>
      <c r="T7" s="12" t="s">
        <v>29</v>
      </c>
    </row>
    <row r="8" spans="1:20" x14ac:dyDescent="0.25">
      <c r="A8" s="12" t="s">
        <v>414</v>
      </c>
      <c r="B8" s="13" t="s">
        <v>84</v>
      </c>
      <c r="C8" s="12" t="s">
        <v>415</v>
      </c>
      <c r="D8" s="12"/>
      <c r="E8" s="12">
        <v>10</v>
      </c>
      <c r="F8" s="12"/>
      <c r="G8" s="12">
        <v>1</v>
      </c>
      <c r="H8" s="12">
        <v>1</v>
      </c>
      <c r="I8" s="12" t="s">
        <v>416</v>
      </c>
      <c r="J8" s="13" t="s">
        <v>87</v>
      </c>
      <c r="K8" s="12" t="s">
        <v>417</v>
      </c>
      <c r="L8" s="12"/>
      <c r="M8" s="12"/>
      <c r="N8" s="12">
        <v>10</v>
      </c>
      <c r="O8" s="12"/>
      <c r="P8" s="12">
        <v>1</v>
      </c>
      <c r="Q8" s="12">
        <v>1</v>
      </c>
      <c r="R8" s="12"/>
      <c r="S8" s="12" t="s">
        <v>29</v>
      </c>
      <c r="T8" s="12" t="s">
        <v>29</v>
      </c>
    </row>
    <row r="9" spans="1:20" x14ac:dyDescent="0.25">
      <c r="A9" s="12" t="s">
        <v>414</v>
      </c>
      <c r="B9" s="13" t="s">
        <v>84</v>
      </c>
      <c r="C9" s="12" t="s">
        <v>415</v>
      </c>
      <c r="D9" s="12"/>
      <c r="E9" s="12">
        <v>10</v>
      </c>
      <c r="F9" s="12"/>
      <c r="G9" s="12">
        <v>1</v>
      </c>
      <c r="H9" s="12">
        <v>1</v>
      </c>
      <c r="I9" s="12" t="s">
        <v>418</v>
      </c>
      <c r="J9" s="13" t="s">
        <v>419</v>
      </c>
      <c r="K9" s="12" t="s">
        <v>420</v>
      </c>
      <c r="L9" s="12"/>
      <c r="M9" s="12"/>
      <c r="N9" s="12">
        <v>19</v>
      </c>
      <c r="O9" s="12"/>
      <c r="P9" s="12">
        <v>1</v>
      </c>
      <c r="Q9" s="12">
        <v>1</v>
      </c>
      <c r="R9" s="12"/>
      <c r="S9" s="12" t="s">
        <v>118</v>
      </c>
      <c r="T9" s="12" t="s">
        <v>421</v>
      </c>
    </row>
    <row r="10" spans="1:20" x14ac:dyDescent="0.25">
      <c r="A10" s="12"/>
      <c r="B10" s="12"/>
      <c r="C10" s="12"/>
      <c r="D10" s="12"/>
      <c r="E10" s="12"/>
      <c r="F10" s="12"/>
      <c r="G10" s="12"/>
      <c r="H10" s="12"/>
      <c r="I10" s="12" t="s">
        <v>422</v>
      </c>
      <c r="J10" s="13" t="s">
        <v>90</v>
      </c>
      <c r="K10" s="12" t="s">
        <v>417</v>
      </c>
      <c r="L10" s="12"/>
      <c r="M10" s="12"/>
      <c r="N10" s="12"/>
      <c r="O10" s="12"/>
      <c r="P10" s="12">
        <v>1</v>
      </c>
      <c r="Q10" s="12">
        <v>1</v>
      </c>
      <c r="R10" s="12" t="s">
        <v>91</v>
      </c>
      <c r="S10" s="12" t="s">
        <v>423</v>
      </c>
      <c r="T10" s="12" t="s">
        <v>151</v>
      </c>
    </row>
    <row r="11" spans="1:20" x14ac:dyDescent="0.25">
      <c r="A11" s="12"/>
      <c r="B11" s="12"/>
      <c r="C11" s="12"/>
      <c r="D11" s="12"/>
      <c r="E11" s="12"/>
      <c r="F11" s="12"/>
      <c r="G11" s="12"/>
      <c r="H11" s="12"/>
      <c r="I11" s="12" t="s">
        <v>424</v>
      </c>
      <c r="J11" s="13" t="s">
        <v>95</v>
      </c>
      <c r="K11" s="12" t="s">
        <v>420</v>
      </c>
      <c r="L11" s="12"/>
      <c r="M11" s="12"/>
      <c r="N11" s="12"/>
      <c r="O11" s="12"/>
      <c r="P11" s="12">
        <v>1</v>
      </c>
      <c r="Q11" s="12">
        <v>1</v>
      </c>
      <c r="R11" s="12" t="s">
        <v>91</v>
      </c>
      <c r="S11" s="12" t="s">
        <v>118</v>
      </c>
      <c r="T11" s="12" t="s">
        <v>151</v>
      </c>
    </row>
    <row r="12" spans="1:20" x14ac:dyDescent="0.25">
      <c r="A12" s="12" t="s">
        <v>425</v>
      </c>
      <c r="B12" s="13" t="s">
        <v>419</v>
      </c>
      <c r="C12" s="12" t="s">
        <v>117</v>
      </c>
      <c r="D12" s="12">
        <v>140</v>
      </c>
      <c r="E12" s="12"/>
      <c r="F12" s="12"/>
      <c r="G12" s="12">
        <v>1</v>
      </c>
      <c r="H12" s="12">
        <v>1</v>
      </c>
      <c r="I12" s="12" t="s">
        <v>425</v>
      </c>
      <c r="J12" s="13" t="s">
        <v>426</v>
      </c>
      <c r="K12" s="12" t="s">
        <v>117</v>
      </c>
      <c r="L12" s="12"/>
      <c r="M12" s="12">
        <v>140</v>
      </c>
      <c r="N12" s="12"/>
      <c r="O12" s="12"/>
      <c r="P12" s="12">
        <v>1</v>
      </c>
      <c r="Q12" s="12">
        <v>1</v>
      </c>
      <c r="R12" s="12"/>
      <c r="S12" s="12" t="s">
        <v>29</v>
      </c>
      <c r="T12" s="12" t="s">
        <v>156</v>
      </c>
    </row>
    <row r="13" spans="1:20" x14ac:dyDescent="0.25">
      <c r="A13" s="12" t="s">
        <v>427</v>
      </c>
      <c r="B13" s="13" t="s">
        <v>428</v>
      </c>
      <c r="C13" s="12" t="s">
        <v>122</v>
      </c>
      <c r="D13" s="12">
        <v>70</v>
      </c>
      <c r="E13" s="12"/>
      <c r="F13" s="12"/>
      <c r="G13" s="12">
        <v>1</v>
      </c>
      <c r="H13" s="12">
        <v>1</v>
      </c>
      <c r="I13" s="12" t="s">
        <v>427</v>
      </c>
      <c r="J13" s="13" t="s">
        <v>429</v>
      </c>
      <c r="K13" s="12" t="s">
        <v>122</v>
      </c>
      <c r="L13" s="12"/>
      <c r="M13" s="12">
        <v>70</v>
      </c>
      <c r="N13" s="12"/>
      <c r="O13" s="12"/>
      <c r="P13" s="12">
        <v>1</v>
      </c>
      <c r="Q13" s="12">
        <v>1</v>
      </c>
      <c r="R13" s="12"/>
      <c r="S13" s="12" t="s">
        <v>29</v>
      </c>
      <c r="T13" s="12" t="s">
        <v>156</v>
      </c>
    </row>
    <row r="14" spans="1:20" x14ac:dyDescent="0.25">
      <c r="A14" s="12" t="s">
        <v>430</v>
      </c>
      <c r="B14" s="13" t="s">
        <v>431</v>
      </c>
      <c r="C14" s="12" t="s">
        <v>126</v>
      </c>
      <c r="D14" s="12">
        <v>16</v>
      </c>
      <c r="E14" s="12"/>
      <c r="F14" s="12"/>
      <c r="G14" s="12">
        <v>0</v>
      </c>
      <c r="H14" s="12">
        <v>1</v>
      </c>
      <c r="I14" s="12" t="s">
        <v>430</v>
      </c>
      <c r="J14" s="13" t="s">
        <v>432</v>
      </c>
      <c r="K14" s="12" t="s">
        <v>126</v>
      </c>
      <c r="L14" s="12"/>
      <c r="M14" s="12">
        <v>16</v>
      </c>
      <c r="N14" s="12"/>
      <c r="O14" s="12"/>
      <c r="P14" s="12">
        <v>0</v>
      </c>
      <c r="Q14" s="12">
        <v>1</v>
      </c>
      <c r="R14" s="12"/>
      <c r="S14" s="12" t="s">
        <v>29</v>
      </c>
      <c r="T14" s="12" t="s">
        <v>156</v>
      </c>
    </row>
    <row r="15" spans="1:20" x14ac:dyDescent="0.25">
      <c r="A15" s="12" t="s">
        <v>433</v>
      </c>
      <c r="B15" s="13" t="s">
        <v>434</v>
      </c>
      <c r="C15" s="12" t="s">
        <v>129</v>
      </c>
      <c r="D15" s="12">
        <v>16</v>
      </c>
      <c r="E15" s="12"/>
      <c r="F15" s="12"/>
      <c r="G15" s="12">
        <v>1</v>
      </c>
      <c r="H15" s="12">
        <v>1</v>
      </c>
      <c r="I15" s="12" t="s">
        <v>433</v>
      </c>
      <c r="J15" s="13" t="s">
        <v>435</v>
      </c>
      <c r="K15" s="12" t="s">
        <v>129</v>
      </c>
      <c r="L15" s="12"/>
      <c r="M15" s="12">
        <v>16</v>
      </c>
      <c r="N15" s="12"/>
      <c r="O15" s="12"/>
      <c r="P15" s="12">
        <v>1</v>
      </c>
      <c r="Q15" s="12">
        <v>1</v>
      </c>
      <c r="R15" s="12"/>
      <c r="S15" s="12" t="s">
        <v>29</v>
      </c>
      <c r="T15" s="12" t="s">
        <v>156</v>
      </c>
    </row>
    <row r="16" spans="1:20" x14ac:dyDescent="0.25">
      <c r="A16" s="12" t="s">
        <v>436</v>
      </c>
      <c r="B16" s="13" t="s">
        <v>437</v>
      </c>
      <c r="C16" s="12" t="s">
        <v>132</v>
      </c>
      <c r="D16" s="12">
        <v>35</v>
      </c>
      <c r="E16" s="12"/>
      <c r="F16" s="12"/>
      <c r="G16" s="12">
        <v>1</v>
      </c>
      <c r="H16" s="12">
        <v>1</v>
      </c>
      <c r="I16" s="12" t="s">
        <v>436</v>
      </c>
      <c r="J16" s="13" t="s">
        <v>438</v>
      </c>
      <c r="K16" s="12" t="s">
        <v>132</v>
      </c>
      <c r="L16" s="12"/>
      <c r="M16" s="12">
        <v>35</v>
      </c>
      <c r="N16" s="12"/>
      <c r="O16" s="12"/>
      <c r="P16" s="12">
        <v>1</v>
      </c>
      <c r="Q16" s="12">
        <v>1</v>
      </c>
      <c r="R16" s="12"/>
      <c r="S16" s="12" t="s">
        <v>29</v>
      </c>
      <c r="T16" s="12" t="s">
        <v>156</v>
      </c>
    </row>
    <row r="17" spans="1:20" x14ac:dyDescent="0.25">
      <c r="A17" s="12"/>
      <c r="B17" s="12"/>
      <c r="C17" s="12"/>
      <c r="D17" s="12"/>
      <c r="E17" s="12"/>
      <c r="F17" s="12"/>
      <c r="G17" s="12"/>
      <c r="H17" s="12"/>
      <c r="I17" s="12" t="s">
        <v>439</v>
      </c>
      <c r="J17" s="13" t="s">
        <v>440</v>
      </c>
      <c r="K17" s="12" t="s">
        <v>135</v>
      </c>
      <c r="L17" s="12"/>
      <c r="M17" s="12">
        <v>35</v>
      </c>
      <c r="N17" s="12"/>
      <c r="O17" s="12"/>
      <c r="P17" s="12">
        <v>1</v>
      </c>
      <c r="Q17" s="12">
        <v>1</v>
      </c>
      <c r="R17" s="12" t="s">
        <v>91</v>
      </c>
      <c r="S17" s="12" t="s">
        <v>441</v>
      </c>
      <c r="T17" s="12" t="s">
        <v>176</v>
      </c>
    </row>
    <row r="18" spans="1:20" x14ac:dyDescent="0.25">
      <c r="A18" s="12" t="s">
        <v>442</v>
      </c>
      <c r="B18" s="13" t="s">
        <v>443</v>
      </c>
      <c r="C18" s="12" t="s">
        <v>138</v>
      </c>
      <c r="D18" s="12"/>
      <c r="E18" s="12">
        <v>2</v>
      </c>
      <c r="F18" s="12"/>
      <c r="G18" s="12">
        <v>1</v>
      </c>
      <c r="H18" s="12">
        <v>1</v>
      </c>
      <c r="I18" s="12" t="s">
        <v>442</v>
      </c>
      <c r="J18" s="13" t="s">
        <v>444</v>
      </c>
      <c r="K18" s="12" t="s">
        <v>138</v>
      </c>
      <c r="L18" s="12"/>
      <c r="M18" s="12"/>
      <c r="N18" s="12">
        <v>2</v>
      </c>
      <c r="O18" s="12"/>
      <c r="P18" s="12">
        <v>1</v>
      </c>
      <c r="Q18" s="12">
        <v>1</v>
      </c>
      <c r="R18" s="12"/>
      <c r="S18" s="12" t="s">
        <v>29</v>
      </c>
      <c r="T18" s="12" t="s">
        <v>29</v>
      </c>
    </row>
    <row r="19" spans="1:20" x14ac:dyDescent="0.25">
      <c r="A19" s="12"/>
      <c r="B19" s="12"/>
      <c r="C19" s="12"/>
      <c r="D19" s="12"/>
      <c r="E19" s="12"/>
      <c r="F19" s="12"/>
      <c r="G19" s="12"/>
      <c r="H19" s="12"/>
      <c r="I19" s="12" t="s">
        <v>445</v>
      </c>
      <c r="J19" s="13" t="s">
        <v>446</v>
      </c>
      <c r="K19" s="12" t="s">
        <v>141</v>
      </c>
      <c r="L19" s="12"/>
      <c r="M19" s="12">
        <v>70</v>
      </c>
      <c r="N19" s="12"/>
      <c r="O19" s="12"/>
      <c r="P19" s="12">
        <v>0</v>
      </c>
      <c r="Q19" s="12">
        <v>1</v>
      </c>
      <c r="R19" s="12" t="s">
        <v>91</v>
      </c>
      <c r="S19" s="12" t="s">
        <v>118</v>
      </c>
      <c r="T19" s="12" t="s">
        <v>183</v>
      </c>
    </row>
    <row r="20" spans="1:20" s="32" customFormat="1" x14ac:dyDescent="0.25">
      <c r="I20" s="32" t="s">
        <v>447</v>
      </c>
      <c r="J20" s="34" t="s">
        <v>448</v>
      </c>
      <c r="K20" s="32" t="s">
        <v>144</v>
      </c>
      <c r="P20" s="32">
        <v>0</v>
      </c>
      <c r="Q20" s="32">
        <v>1</v>
      </c>
      <c r="R20" s="32" t="s">
        <v>91</v>
      </c>
      <c r="S20" s="32" t="str">
        <f>IF(R20="NEW ELEMENT","N/A", check)</f>
        <v>N/A</v>
      </c>
      <c r="T20" s="32" t="s">
        <v>151</v>
      </c>
    </row>
    <row r="21" spans="1:20" x14ac:dyDescent="0.25">
      <c r="A21" s="12" t="s">
        <v>449</v>
      </c>
      <c r="B21" s="13" t="s">
        <v>450</v>
      </c>
      <c r="C21" s="12" t="s">
        <v>188</v>
      </c>
      <c r="D21" s="12"/>
      <c r="E21" s="12">
        <v>10</v>
      </c>
      <c r="F21" s="12"/>
      <c r="G21" s="12">
        <v>1</v>
      </c>
      <c r="H21" s="12">
        <v>1</v>
      </c>
      <c r="I21" s="12" t="s">
        <v>449</v>
      </c>
      <c r="J21" s="13" t="s">
        <v>451</v>
      </c>
      <c r="K21" s="12" t="s">
        <v>188</v>
      </c>
      <c r="L21" s="12"/>
      <c r="M21" s="12"/>
      <c r="N21" s="12">
        <v>10</v>
      </c>
      <c r="O21" s="12"/>
      <c r="P21" s="12">
        <v>1</v>
      </c>
      <c r="Q21" s="12">
        <v>1</v>
      </c>
      <c r="R21" s="12"/>
      <c r="S21" s="12" t="s">
        <v>29</v>
      </c>
      <c r="T21" s="12" t="s">
        <v>29</v>
      </c>
    </row>
    <row r="22" spans="1:20" x14ac:dyDescent="0.25">
      <c r="A22" s="12" t="s">
        <v>452</v>
      </c>
      <c r="B22" s="13" t="s">
        <v>429</v>
      </c>
      <c r="C22" s="12" t="s">
        <v>193</v>
      </c>
      <c r="D22" s="12">
        <v>35</v>
      </c>
      <c r="E22" s="12"/>
      <c r="F22" s="12"/>
      <c r="G22" s="12">
        <v>1</v>
      </c>
      <c r="H22" s="12">
        <v>1</v>
      </c>
      <c r="I22" s="12" t="s">
        <v>452</v>
      </c>
      <c r="J22" s="13" t="s">
        <v>453</v>
      </c>
      <c r="K22" s="12" t="s">
        <v>193</v>
      </c>
      <c r="L22" s="12"/>
      <c r="M22" s="12">
        <v>35</v>
      </c>
      <c r="N22" s="12"/>
      <c r="O22" s="12"/>
      <c r="P22" s="12">
        <v>1</v>
      </c>
      <c r="Q22" s="12">
        <v>1</v>
      </c>
      <c r="R22" s="12"/>
      <c r="S22" s="12" t="s">
        <v>29</v>
      </c>
      <c r="T22" s="12" t="s">
        <v>29</v>
      </c>
    </row>
    <row r="23" spans="1:20" x14ac:dyDescent="0.25">
      <c r="A23" s="12" t="s">
        <v>454</v>
      </c>
      <c r="B23" s="13" t="s">
        <v>432</v>
      </c>
      <c r="C23" s="12" t="s">
        <v>198</v>
      </c>
      <c r="D23" s="12"/>
      <c r="E23" s="12">
        <v>2</v>
      </c>
      <c r="F23" s="12"/>
      <c r="G23" s="12">
        <v>1</v>
      </c>
      <c r="H23" s="12">
        <v>1</v>
      </c>
      <c r="I23" s="12" t="s">
        <v>454</v>
      </c>
      <c r="J23" s="13" t="s">
        <v>455</v>
      </c>
      <c r="K23" s="12" t="s">
        <v>198</v>
      </c>
      <c r="L23" s="12"/>
      <c r="M23" s="12"/>
      <c r="N23" s="12">
        <v>2</v>
      </c>
      <c r="O23" s="12"/>
      <c r="P23" s="12">
        <v>1</v>
      </c>
      <c r="Q23" s="12">
        <v>1</v>
      </c>
      <c r="R23" s="12"/>
      <c r="S23" s="12" t="s">
        <v>29</v>
      </c>
      <c r="T23" s="12" t="s">
        <v>29</v>
      </c>
    </row>
    <row r="24" spans="1:20" x14ac:dyDescent="0.25">
      <c r="A24" s="12" t="s">
        <v>456</v>
      </c>
      <c r="B24" s="13" t="s">
        <v>457</v>
      </c>
      <c r="C24" s="12" t="s">
        <v>148</v>
      </c>
      <c r="D24" s="12">
        <v>17</v>
      </c>
      <c r="E24" s="12"/>
      <c r="F24" s="12"/>
      <c r="G24" s="12">
        <v>1</v>
      </c>
      <c r="H24" s="12">
        <v>1</v>
      </c>
      <c r="I24" s="12" t="s">
        <v>456</v>
      </c>
      <c r="J24" s="13" t="s">
        <v>458</v>
      </c>
      <c r="K24" s="12" t="s">
        <v>148</v>
      </c>
      <c r="L24" s="12"/>
      <c r="M24" s="12">
        <v>34</v>
      </c>
      <c r="N24" s="12"/>
      <c r="O24" s="12"/>
      <c r="P24" s="12">
        <v>1</v>
      </c>
      <c r="Q24" s="12">
        <v>1</v>
      </c>
      <c r="R24" s="12"/>
      <c r="S24" s="12" t="s">
        <v>29</v>
      </c>
      <c r="T24" s="12" t="s">
        <v>459</v>
      </c>
    </row>
    <row r="25" spans="1:20" x14ac:dyDescent="0.25">
      <c r="A25" s="12"/>
      <c r="B25" s="12"/>
      <c r="C25" s="12"/>
      <c r="D25" s="12"/>
      <c r="E25" s="12"/>
      <c r="F25" s="12"/>
      <c r="G25" s="12"/>
      <c r="H25" s="12"/>
      <c r="I25" s="12" t="s">
        <v>460</v>
      </c>
      <c r="J25" s="13" t="s">
        <v>461</v>
      </c>
      <c r="K25" s="12" t="s">
        <v>148</v>
      </c>
      <c r="L25" s="12"/>
      <c r="M25" s="16">
        <v>256</v>
      </c>
      <c r="N25" s="12"/>
      <c r="O25" s="12"/>
      <c r="P25" s="12">
        <v>1</v>
      </c>
      <c r="Q25" s="12">
        <v>1</v>
      </c>
      <c r="R25" s="12" t="s">
        <v>91</v>
      </c>
      <c r="S25" s="12" t="s">
        <v>118</v>
      </c>
      <c r="T25" s="12" t="s">
        <v>151</v>
      </c>
    </row>
    <row r="26" spans="1:20" s="14" customFormat="1" x14ac:dyDescent="0.25">
      <c r="A26" s="14" t="s">
        <v>462</v>
      </c>
      <c r="B26" s="15" t="s">
        <v>463</v>
      </c>
      <c r="C26" s="14" t="s">
        <v>106</v>
      </c>
      <c r="D26" s="14">
        <v>9</v>
      </c>
      <c r="G26" s="14">
        <v>1</v>
      </c>
      <c r="H26" s="14">
        <v>1</v>
      </c>
      <c r="I26" s="14" t="s">
        <v>462</v>
      </c>
      <c r="J26" s="15" t="s">
        <v>464</v>
      </c>
      <c r="K26" s="14" t="s">
        <v>106</v>
      </c>
      <c r="M26" s="14">
        <v>9</v>
      </c>
      <c r="P26" s="14">
        <v>1</v>
      </c>
      <c r="Q26" s="14">
        <v>1</v>
      </c>
      <c r="S26" s="14" t="s">
        <v>29</v>
      </c>
      <c r="T26" s="14" t="s">
        <v>465</v>
      </c>
    </row>
    <row r="27" spans="1:20" x14ac:dyDescent="0.25">
      <c r="A27" s="12"/>
      <c r="B27" s="12"/>
      <c r="C27" s="12"/>
      <c r="D27" s="12"/>
      <c r="E27" s="12"/>
      <c r="F27" s="12"/>
      <c r="G27" s="12"/>
      <c r="H27" s="12"/>
      <c r="I27" s="12" t="s">
        <v>466</v>
      </c>
      <c r="J27" s="13" t="s">
        <v>467</v>
      </c>
      <c r="K27" s="12" t="s">
        <v>117</v>
      </c>
      <c r="L27" s="12"/>
      <c r="M27" s="12">
        <v>140</v>
      </c>
      <c r="N27" s="12"/>
      <c r="O27" s="12"/>
      <c r="P27" s="12">
        <v>1</v>
      </c>
      <c r="Q27" s="12">
        <v>1</v>
      </c>
      <c r="R27" s="12" t="s">
        <v>91</v>
      </c>
      <c r="S27" s="12" t="s">
        <v>118</v>
      </c>
      <c r="T27" s="12" t="s">
        <v>123</v>
      </c>
    </row>
    <row r="28" spans="1:20" x14ac:dyDescent="0.25">
      <c r="A28" s="12"/>
      <c r="B28" s="12"/>
      <c r="C28" s="12"/>
      <c r="D28" s="12"/>
      <c r="E28" s="12"/>
      <c r="F28" s="12"/>
      <c r="G28" s="12"/>
      <c r="H28" s="12"/>
      <c r="I28" s="12" t="s">
        <v>468</v>
      </c>
      <c r="J28" s="13" t="s">
        <v>469</v>
      </c>
      <c r="K28" s="12" t="s">
        <v>122</v>
      </c>
      <c r="L28" s="12"/>
      <c r="M28" s="12">
        <v>70</v>
      </c>
      <c r="N28" s="12"/>
      <c r="O28" s="12"/>
      <c r="P28" s="12">
        <v>1</v>
      </c>
      <c r="Q28" s="12">
        <v>1</v>
      </c>
      <c r="R28" s="12" t="s">
        <v>91</v>
      </c>
      <c r="S28" s="12" t="str">
        <f>IF(R28="NEW ELEMENT","N/A", check)</f>
        <v>N/A</v>
      </c>
      <c r="T28" s="12" t="s">
        <v>123</v>
      </c>
    </row>
    <row r="29" spans="1:20" x14ac:dyDescent="0.25">
      <c r="A29" s="12"/>
      <c r="B29" s="12"/>
      <c r="C29" s="12"/>
      <c r="D29" s="12"/>
      <c r="E29" s="12"/>
      <c r="F29" s="12"/>
      <c r="G29" s="12"/>
      <c r="H29" s="12"/>
      <c r="I29" s="12" t="s">
        <v>470</v>
      </c>
      <c r="J29" s="13" t="s">
        <v>471</v>
      </c>
      <c r="K29" s="12" t="s">
        <v>126</v>
      </c>
      <c r="L29" s="12"/>
      <c r="M29" s="12">
        <v>16</v>
      </c>
      <c r="N29" s="12"/>
      <c r="O29" s="12"/>
      <c r="P29" s="12">
        <v>0</v>
      </c>
      <c r="Q29" s="12">
        <v>1</v>
      </c>
      <c r="R29" s="12" t="s">
        <v>91</v>
      </c>
      <c r="S29" s="12" t="str">
        <f>IF(R29="NEW ELEMENT","N/A", check)</f>
        <v>N/A</v>
      </c>
      <c r="T29" s="12" t="s">
        <v>123</v>
      </c>
    </row>
    <row r="30" spans="1:20" x14ac:dyDescent="0.25">
      <c r="A30" s="12"/>
      <c r="B30" s="12"/>
      <c r="C30" s="12"/>
      <c r="D30" s="12"/>
      <c r="E30" s="12"/>
      <c r="F30" s="12"/>
      <c r="G30" s="12"/>
      <c r="H30" s="12"/>
      <c r="I30" s="12" t="s">
        <v>472</v>
      </c>
      <c r="J30" s="13" t="s">
        <v>473</v>
      </c>
      <c r="K30" s="12" t="s">
        <v>129</v>
      </c>
      <c r="L30" s="12"/>
      <c r="M30" s="12">
        <v>16</v>
      </c>
      <c r="N30" s="12"/>
      <c r="O30" s="12"/>
      <c r="P30" s="12">
        <v>1</v>
      </c>
      <c r="Q30" s="12">
        <v>1</v>
      </c>
      <c r="R30" s="12" t="s">
        <v>91</v>
      </c>
      <c r="S30" s="12" t="str">
        <f>IF(R30="NEW ELEMENT","N/A", check)</f>
        <v>N/A</v>
      </c>
      <c r="T30" s="12" t="s">
        <v>123</v>
      </c>
    </row>
    <row r="31" spans="1:20" x14ac:dyDescent="0.25">
      <c r="A31" s="12"/>
      <c r="B31" s="12"/>
      <c r="C31" s="12"/>
      <c r="D31" s="12"/>
      <c r="E31" s="12"/>
      <c r="F31" s="12"/>
      <c r="G31" s="12"/>
      <c r="H31" s="12"/>
      <c r="I31" s="12" t="s">
        <v>474</v>
      </c>
      <c r="J31" s="13" t="s">
        <v>475</v>
      </c>
      <c r="K31" s="12" t="s">
        <v>132</v>
      </c>
      <c r="L31" s="12"/>
      <c r="M31" s="12">
        <v>35</v>
      </c>
      <c r="N31" s="12"/>
      <c r="O31" s="12"/>
      <c r="P31" s="12">
        <v>1</v>
      </c>
      <c r="Q31" s="12">
        <v>1</v>
      </c>
      <c r="R31" s="12" t="s">
        <v>91</v>
      </c>
      <c r="S31" s="12" t="str">
        <f>IF(R31="NEW ELEMENT","N/A", check)</f>
        <v>N/A</v>
      </c>
      <c r="T31" s="12" t="s">
        <v>123</v>
      </c>
    </row>
    <row r="32" spans="1:20" x14ac:dyDescent="0.25">
      <c r="A32" s="12"/>
      <c r="B32" s="12"/>
      <c r="C32" s="12"/>
      <c r="D32" s="12"/>
      <c r="E32" s="12"/>
      <c r="F32" s="12"/>
      <c r="G32" s="12"/>
      <c r="H32" s="12"/>
      <c r="I32" s="12" t="s">
        <v>476</v>
      </c>
      <c r="J32" s="13" t="s">
        <v>477</v>
      </c>
      <c r="K32" s="12" t="s">
        <v>135</v>
      </c>
      <c r="L32" s="12"/>
      <c r="M32" s="12">
        <v>35</v>
      </c>
      <c r="N32" s="12"/>
      <c r="O32" s="12"/>
      <c r="P32" s="12">
        <v>1</v>
      </c>
      <c r="Q32" s="12">
        <v>1</v>
      </c>
      <c r="R32" s="12" t="s">
        <v>91</v>
      </c>
      <c r="S32" s="12" t="str">
        <f>IF(R32="NEW ELEMENT","N/A", check)</f>
        <v>N/A</v>
      </c>
      <c r="T32" s="12" t="s">
        <v>123</v>
      </c>
    </row>
    <row r="33" spans="1:20" x14ac:dyDescent="0.25">
      <c r="A33" s="12"/>
      <c r="B33" s="12"/>
      <c r="C33" s="12"/>
      <c r="D33" s="12"/>
      <c r="E33" s="12"/>
      <c r="F33" s="12"/>
      <c r="G33" s="12"/>
      <c r="H33" s="12"/>
      <c r="I33" s="12" t="s">
        <v>478</v>
      </c>
      <c r="J33" s="13" t="s">
        <v>479</v>
      </c>
      <c r="K33" s="12" t="s">
        <v>138</v>
      </c>
      <c r="L33" s="12"/>
      <c r="M33" s="12"/>
      <c r="N33" s="12">
        <v>2</v>
      </c>
      <c r="O33" s="12"/>
      <c r="P33" s="12">
        <v>1</v>
      </c>
      <c r="Q33" s="12">
        <v>1</v>
      </c>
      <c r="R33" s="12" t="s">
        <v>91</v>
      </c>
      <c r="S33" s="12" t="str">
        <f>IF(R33="NEW ELEMENT","N/A", check)</f>
        <v>N/A</v>
      </c>
      <c r="T33" s="12" t="s">
        <v>123</v>
      </c>
    </row>
    <row r="34" spans="1:20" x14ac:dyDescent="0.25">
      <c r="A34" s="12"/>
      <c r="B34" s="12"/>
      <c r="C34" s="12"/>
      <c r="D34" s="12"/>
      <c r="E34" s="12"/>
      <c r="F34" s="12"/>
      <c r="G34" s="12"/>
      <c r="H34" s="12"/>
      <c r="I34" s="12" t="s">
        <v>480</v>
      </c>
      <c r="J34" s="13" t="s">
        <v>481</v>
      </c>
      <c r="K34" s="12" t="s">
        <v>141</v>
      </c>
      <c r="L34" s="12"/>
      <c r="M34" s="12">
        <v>70</v>
      </c>
      <c r="N34" s="12"/>
      <c r="O34" s="12"/>
      <c r="P34" s="12">
        <v>0</v>
      </c>
      <c r="Q34" s="12">
        <v>1</v>
      </c>
      <c r="R34" s="12" t="s">
        <v>91</v>
      </c>
      <c r="S34" s="12" t="str">
        <f>IF(R34="NEW ELEMENT","N/A", check)</f>
        <v>N/A</v>
      </c>
      <c r="T34" s="12" t="s">
        <v>123</v>
      </c>
    </row>
    <row r="35" spans="1:20" x14ac:dyDescent="0.25">
      <c r="A35" s="12"/>
      <c r="B35" s="12"/>
      <c r="C35" s="12"/>
      <c r="D35" s="12"/>
      <c r="E35" s="12"/>
      <c r="F35" s="12"/>
      <c r="G35" s="12"/>
      <c r="H35" s="12"/>
      <c r="I35" s="12" t="s">
        <v>482</v>
      </c>
      <c r="J35" s="13" t="s">
        <v>483</v>
      </c>
      <c r="K35" s="12" t="s">
        <v>144</v>
      </c>
      <c r="L35" s="12"/>
      <c r="M35" s="12"/>
      <c r="N35" s="12"/>
      <c r="O35" s="12"/>
      <c r="P35" s="12">
        <v>1</v>
      </c>
      <c r="Q35" s="12">
        <v>1</v>
      </c>
      <c r="R35" s="12" t="s">
        <v>91</v>
      </c>
      <c r="S35" s="12" t="str">
        <f>IF(R35="NEW ELEMENT","N/A", check)</f>
        <v>N/A</v>
      </c>
      <c r="T35" s="12" t="s">
        <v>123</v>
      </c>
    </row>
    <row r="36" spans="1:20" x14ac:dyDescent="0.25">
      <c r="A36" s="12"/>
      <c r="B36" s="12"/>
      <c r="C36" s="12"/>
      <c r="D36" s="12"/>
      <c r="E36" s="12"/>
      <c r="F36" s="12"/>
      <c r="G36" s="12"/>
      <c r="H36" s="12"/>
      <c r="I36" s="12" t="s">
        <v>484</v>
      </c>
      <c r="J36" s="13" t="s">
        <v>485</v>
      </c>
      <c r="K36" s="12" t="s">
        <v>148</v>
      </c>
      <c r="L36" s="12"/>
      <c r="M36" s="12">
        <v>35</v>
      </c>
      <c r="N36" s="12"/>
      <c r="O36" s="12"/>
      <c r="P36" s="12">
        <v>1</v>
      </c>
      <c r="Q36" s="12">
        <v>1</v>
      </c>
      <c r="R36" s="12" t="s">
        <v>91</v>
      </c>
      <c r="S36" s="12" t="str">
        <f>IF(R36="NEW ELEMENT","N/A", check)</f>
        <v>N/A</v>
      </c>
      <c r="T36" s="12" t="s">
        <v>123</v>
      </c>
    </row>
    <row r="37" spans="1:20" x14ac:dyDescent="0.25">
      <c r="A37" s="12" t="s">
        <v>486</v>
      </c>
      <c r="B37" s="13" t="s">
        <v>487</v>
      </c>
      <c r="C37" s="12" t="s">
        <v>64</v>
      </c>
      <c r="D37" s="12">
        <v>35</v>
      </c>
      <c r="E37" s="12"/>
      <c r="F37" s="12"/>
      <c r="G37" s="12">
        <v>0</v>
      </c>
      <c r="H37" s="12">
        <v>1</v>
      </c>
      <c r="I37" s="12" t="s">
        <v>486</v>
      </c>
      <c r="J37" s="13" t="s">
        <v>488</v>
      </c>
      <c r="K37" s="12" t="s">
        <v>64</v>
      </c>
      <c r="L37" s="12"/>
      <c r="M37" s="12">
        <v>35</v>
      </c>
      <c r="N37" s="12"/>
      <c r="O37" s="12"/>
      <c r="P37" s="12">
        <v>0</v>
      </c>
      <c r="Q37" s="12">
        <v>1</v>
      </c>
      <c r="R37" s="12"/>
      <c r="S37" s="12" t="s">
        <v>29</v>
      </c>
      <c r="T37" s="12" t="s">
        <v>29</v>
      </c>
    </row>
    <row r="38" spans="1:20" x14ac:dyDescent="0.25">
      <c r="A38" s="12" t="s">
        <v>489</v>
      </c>
      <c r="B38" s="13" t="s">
        <v>490</v>
      </c>
      <c r="C38" s="12" t="s">
        <v>68</v>
      </c>
      <c r="D38" s="12">
        <v>35</v>
      </c>
      <c r="E38" s="12"/>
      <c r="F38" s="12"/>
      <c r="G38" s="12">
        <v>1</v>
      </c>
      <c r="H38" s="12">
        <v>1</v>
      </c>
      <c r="I38" s="12" t="s">
        <v>489</v>
      </c>
      <c r="J38" s="13" t="s">
        <v>491</v>
      </c>
      <c r="K38" s="12" t="s">
        <v>68</v>
      </c>
      <c r="L38" s="12"/>
      <c r="M38" s="12">
        <v>35</v>
      </c>
      <c r="N38" s="12"/>
      <c r="O38" s="12"/>
      <c r="P38" s="12">
        <v>1</v>
      </c>
      <c r="Q38" s="12">
        <v>1</v>
      </c>
      <c r="R38" s="12"/>
      <c r="S38" s="12" t="s">
        <v>29</v>
      </c>
      <c r="T38" s="12" t="s">
        <v>29</v>
      </c>
    </row>
    <row r="39" spans="1:20" x14ac:dyDescent="0.25">
      <c r="A39" s="12" t="s">
        <v>492</v>
      </c>
      <c r="B39" s="13" t="s">
        <v>493</v>
      </c>
      <c r="C39" s="12" t="s">
        <v>40</v>
      </c>
      <c r="D39" s="12">
        <v>4</v>
      </c>
      <c r="E39" s="12"/>
      <c r="F39" s="12"/>
      <c r="G39" s="12">
        <v>1</v>
      </c>
      <c r="H39" s="12">
        <v>1</v>
      </c>
      <c r="I39" s="12" t="s">
        <v>492</v>
      </c>
      <c r="J39" s="13" t="s">
        <v>494</v>
      </c>
      <c r="K39" s="12" t="s">
        <v>40</v>
      </c>
      <c r="L39" s="12"/>
      <c r="M39" s="12">
        <v>4</v>
      </c>
      <c r="N39" s="12"/>
      <c r="O39" s="12"/>
      <c r="P39" s="12">
        <v>1</v>
      </c>
      <c r="Q39" s="12">
        <v>1</v>
      </c>
      <c r="R39" s="12"/>
      <c r="S39" s="12" t="s">
        <v>29</v>
      </c>
      <c r="T39" s="12" t="s">
        <v>29</v>
      </c>
    </row>
    <row r="40" spans="1:20" x14ac:dyDescent="0.25">
      <c r="A40" s="12" t="s">
        <v>495</v>
      </c>
      <c r="B40" s="13" t="s">
        <v>496</v>
      </c>
      <c r="C40" s="12" t="s">
        <v>85</v>
      </c>
      <c r="D40" s="12">
        <v>35</v>
      </c>
      <c r="E40" s="12"/>
      <c r="F40" s="12"/>
      <c r="G40" s="12">
        <v>1</v>
      </c>
      <c r="H40" s="12">
        <v>1</v>
      </c>
      <c r="I40" s="12" t="s">
        <v>495</v>
      </c>
      <c r="J40" s="13" t="s">
        <v>497</v>
      </c>
      <c r="K40" s="12" t="s">
        <v>85</v>
      </c>
      <c r="L40" s="12"/>
      <c r="M40" s="12">
        <v>35</v>
      </c>
      <c r="N40" s="12"/>
      <c r="O40" s="12"/>
      <c r="P40" s="12">
        <v>1</v>
      </c>
      <c r="Q40" s="12">
        <v>1</v>
      </c>
      <c r="R40" s="12"/>
      <c r="S40" s="12" t="s">
        <v>498</v>
      </c>
      <c r="T40" s="12" t="s">
        <v>499</v>
      </c>
    </row>
    <row r="41" spans="1:20" x14ac:dyDescent="0.25">
      <c r="A41" s="12"/>
      <c r="B41" s="12"/>
      <c r="C41" s="12"/>
      <c r="D41" s="12"/>
      <c r="E41" s="12"/>
      <c r="F41" s="12"/>
      <c r="G41" s="12"/>
      <c r="H41" s="12"/>
      <c r="I41" s="12" t="s">
        <v>500</v>
      </c>
      <c r="J41" s="13" t="s">
        <v>501</v>
      </c>
      <c r="K41" s="12" t="s">
        <v>85</v>
      </c>
      <c r="L41" s="12"/>
      <c r="M41" s="12">
        <v>35</v>
      </c>
      <c r="N41" s="12"/>
      <c r="O41" s="12"/>
      <c r="P41" s="12">
        <v>1</v>
      </c>
      <c r="Q41" s="12">
        <v>1</v>
      </c>
      <c r="R41" s="12" t="s">
        <v>91</v>
      </c>
      <c r="S41" s="12" t="str">
        <f>IF(R41="NEW ELEMENT","N/A", check)</f>
        <v>N/A</v>
      </c>
      <c r="T41" s="12" t="s">
        <v>499</v>
      </c>
    </row>
    <row r="42" spans="1:20" x14ac:dyDescent="0.25">
      <c r="A42" s="12"/>
      <c r="B42" s="12"/>
      <c r="C42" s="12"/>
      <c r="D42" s="12"/>
      <c r="E42" s="12"/>
      <c r="F42" s="12"/>
      <c r="G42" s="12"/>
      <c r="H42" s="12"/>
      <c r="I42" s="12" t="s">
        <v>502</v>
      </c>
      <c r="J42" s="13" t="s">
        <v>503</v>
      </c>
      <c r="K42" s="12" t="s">
        <v>504</v>
      </c>
      <c r="L42" s="12"/>
      <c r="M42" s="12"/>
      <c r="N42" s="12"/>
      <c r="O42" s="12"/>
      <c r="P42" s="12">
        <v>1</v>
      </c>
      <c r="Q42" s="12">
        <v>1</v>
      </c>
      <c r="R42" s="12" t="s">
        <v>91</v>
      </c>
      <c r="S42" s="12" t="str">
        <f>IF(R42="NEW ELEMENT","N/A", check)</f>
        <v>N/A</v>
      </c>
      <c r="T42" s="12" t="s">
        <v>151</v>
      </c>
    </row>
    <row r="43" spans="1:20" x14ac:dyDescent="0.25">
      <c r="A43" s="12"/>
      <c r="B43" s="12"/>
      <c r="C43" s="12"/>
      <c r="D43" s="12"/>
      <c r="E43" s="12"/>
      <c r="F43" s="12"/>
      <c r="G43" s="12"/>
      <c r="H43" s="12"/>
      <c r="I43" s="12" t="s">
        <v>505</v>
      </c>
      <c r="J43" s="13" t="s">
        <v>506</v>
      </c>
      <c r="K43" s="12" t="s">
        <v>507</v>
      </c>
      <c r="L43" s="12"/>
      <c r="M43" s="12"/>
      <c r="N43" s="12"/>
      <c r="O43" s="12"/>
      <c r="P43" s="12">
        <v>1</v>
      </c>
      <c r="Q43" s="12">
        <v>1</v>
      </c>
      <c r="R43" s="12" t="s">
        <v>91</v>
      </c>
      <c r="S43" s="12" t="str">
        <f>IF(R43="NEW ELEMENT","N/A", check)</f>
        <v>N/A</v>
      </c>
      <c r="T43" s="12" t="s">
        <v>151</v>
      </c>
    </row>
    <row r="44" spans="1:20" x14ac:dyDescent="0.25">
      <c r="A44" s="12"/>
      <c r="B44" s="12"/>
      <c r="C44" s="12"/>
      <c r="D44" s="12"/>
      <c r="E44" s="12"/>
      <c r="F44" s="12"/>
      <c r="G44" s="12"/>
      <c r="H44" s="12"/>
      <c r="I44" s="12" t="s">
        <v>508</v>
      </c>
      <c r="J44" s="13" t="s">
        <v>509</v>
      </c>
      <c r="K44" s="12" t="s">
        <v>510</v>
      </c>
      <c r="L44" s="12"/>
      <c r="M44" s="12"/>
      <c r="N44" s="12"/>
      <c r="O44" s="12"/>
      <c r="P44" s="12">
        <v>1</v>
      </c>
      <c r="Q44" s="12">
        <v>1</v>
      </c>
      <c r="R44" s="12" t="s">
        <v>91</v>
      </c>
      <c r="S44" s="12" t="str">
        <f>IF(R44="NEW ELEMENT","N/A", check)</f>
        <v>N/A</v>
      </c>
      <c r="T44" s="12" t="s">
        <v>151</v>
      </c>
    </row>
    <row r="45" spans="1:20" x14ac:dyDescent="0.25">
      <c r="A45" s="12" t="s">
        <v>511</v>
      </c>
      <c r="B45" s="13" t="s">
        <v>512</v>
      </c>
      <c r="C45" s="12" t="s">
        <v>513</v>
      </c>
      <c r="D45" s="12"/>
      <c r="E45" s="12"/>
      <c r="F45" s="12">
        <v>18</v>
      </c>
      <c r="G45" s="12">
        <v>1</v>
      </c>
      <c r="H45" s="12">
        <v>1</v>
      </c>
      <c r="I45" s="12" t="s">
        <v>511</v>
      </c>
      <c r="J45" s="13" t="s">
        <v>514</v>
      </c>
      <c r="K45" s="12" t="s">
        <v>513</v>
      </c>
      <c r="L45" s="12"/>
      <c r="M45" s="12"/>
      <c r="N45" s="12"/>
      <c r="O45" s="12">
        <v>18</v>
      </c>
      <c r="P45" s="12">
        <v>1</v>
      </c>
      <c r="Q45" s="12">
        <v>1</v>
      </c>
      <c r="R45" s="12"/>
      <c r="S45" s="12" t="s">
        <v>29</v>
      </c>
      <c r="T45" s="12" t="s">
        <v>29</v>
      </c>
    </row>
    <row r="46" spans="1:20" x14ac:dyDescent="0.25">
      <c r="A46" s="12" t="s">
        <v>515</v>
      </c>
      <c r="B46" s="13" t="s">
        <v>516</v>
      </c>
      <c r="C46" s="12" t="s">
        <v>54</v>
      </c>
      <c r="D46" s="12">
        <v>3</v>
      </c>
      <c r="E46" s="12"/>
      <c r="F46" s="12"/>
      <c r="G46" s="12"/>
      <c r="H46" s="12"/>
      <c r="I46" s="12" t="s">
        <v>515</v>
      </c>
      <c r="J46" s="13" t="s">
        <v>517</v>
      </c>
      <c r="K46" s="12" t="s">
        <v>54</v>
      </c>
      <c r="L46" s="12"/>
      <c r="M46" s="12"/>
      <c r="N46" s="12">
        <v>3</v>
      </c>
      <c r="O46" s="12"/>
      <c r="P46" s="12"/>
      <c r="Q46" s="12"/>
      <c r="R46" s="12"/>
      <c r="S46" s="12" t="s">
        <v>29</v>
      </c>
      <c r="T46" s="12" t="s">
        <v>29</v>
      </c>
    </row>
    <row r="47" spans="1:20" x14ac:dyDescent="0.25">
      <c r="A47" s="12" t="s">
        <v>518</v>
      </c>
      <c r="B47" s="13" t="s">
        <v>519</v>
      </c>
      <c r="C47" s="12" t="s">
        <v>101</v>
      </c>
      <c r="D47" s="12"/>
      <c r="E47" s="12"/>
      <c r="F47" s="12"/>
      <c r="G47" s="12">
        <v>1</v>
      </c>
      <c r="H47" s="12">
        <v>1</v>
      </c>
      <c r="I47" s="12" t="s">
        <v>518</v>
      </c>
      <c r="J47" s="13" t="s">
        <v>520</v>
      </c>
      <c r="K47" s="12" t="s">
        <v>101</v>
      </c>
      <c r="L47" s="12"/>
      <c r="M47" s="12"/>
      <c r="N47" s="12">
        <v>4</v>
      </c>
      <c r="O47" s="12"/>
      <c r="P47" s="12">
        <v>1</v>
      </c>
      <c r="Q47" s="12">
        <v>1</v>
      </c>
      <c r="R47" s="12"/>
      <c r="S47" s="12" t="s">
        <v>29</v>
      </c>
      <c r="T47" s="12" t="s">
        <v>29</v>
      </c>
    </row>
    <row r="48" spans="1:20" s="14" customFormat="1" x14ac:dyDescent="0.25">
      <c r="A48" s="14" t="s">
        <v>521</v>
      </c>
      <c r="B48" s="15" t="s">
        <v>522</v>
      </c>
      <c r="C48" s="14" t="s">
        <v>106</v>
      </c>
      <c r="D48" s="14">
        <v>9</v>
      </c>
      <c r="G48" s="14">
        <v>1</v>
      </c>
      <c r="H48" s="14">
        <v>1</v>
      </c>
      <c r="I48" s="14" t="s">
        <v>521</v>
      </c>
      <c r="J48" s="15" t="s">
        <v>523</v>
      </c>
      <c r="K48" s="14" t="s">
        <v>106</v>
      </c>
      <c r="M48" s="14">
        <v>9</v>
      </c>
      <c r="P48" s="14">
        <v>1</v>
      </c>
      <c r="Q48" s="14">
        <v>1</v>
      </c>
      <c r="S48" s="14" t="s">
        <v>29</v>
      </c>
      <c r="T48" s="14" t="s">
        <v>465</v>
      </c>
    </row>
    <row r="49" spans="1:20" x14ac:dyDescent="0.25">
      <c r="A49" s="12" t="s">
        <v>524</v>
      </c>
      <c r="B49" s="13" t="s">
        <v>525</v>
      </c>
      <c r="C49" s="12" t="s">
        <v>117</v>
      </c>
      <c r="D49" s="12">
        <v>140</v>
      </c>
      <c r="E49" s="12"/>
      <c r="F49" s="12"/>
      <c r="G49" s="12">
        <v>1</v>
      </c>
      <c r="H49" s="12">
        <v>1</v>
      </c>
      <c r="I49" s="12" t="s">
        <v>524</v>
      </c>
      <c r="J49" s="13" t="s">
        <v>248</v>
      </c>
      <c r="K49" s="12" t="s">
        <v>117</v>
      </c>
      <c r="L49" s="12"/>
      <c r="M49" s="12">
        <v>140</v>
      </c>
      <c r="N49" s="12"/>
      <c r="O49" s="12"/>
      <c r="P49" s="12">
        <v>1</v>
      </c>
      <c r="Q49" s="12">
        <v>1</v>
      </c>
      <c r="R49" s="12"/>
      <c r="S49" s="12" t="s">
        <v>29</v>
      </c>
      <c r="T49" s="12" t="s">
        <v>218</v>
      </c>
    </row>
    <row r="50" spans="1:20" x14ac:dyDescent="0.25">
      <c r="A50" s="12" t="s">
        <v>526</v>
      </c>
      <c r="B50" s="13" t="s">
        <v>527</v>
      </c>
      <c r="C50" s="12" t="s">
        <v>122</v>
      </c>
      <c r="D50" s="12">
        <v>70</v>
      </c>
      <c r="E50" s="12"/>
      <c r="F50" s="12"/>
      <c r="G50" s="12">
        <v>1</v>
      </c>
      <c r="H50" s="12">
        <v>1</v>
      </c>
      <c r="I50" s="12" t="s">
        <v>526</v>
      </c>
      <c r="J50" s="13" t="s">
        <v>528</v>
      </c>
      <c r="K50" s="12" t="s">
        <v>122</v>
      </c>
      <c r="L50" s="12"/>
      <c r="M50" s="12">
        <v>70</v>
      </c>
      <c r="N50" s="12"/>
      <c r="O50" s="12"/>
      <c r="P50" s="12">
        <v>1</v>
      </c>
      <c r="Q50" s="12">
        <v>1</v>
      </c>
      <c r="R50" s="12"/>
      <c r="S50" s="12" t="s">
        <v>29</v>
      </c>
      <c r="T50" s="12" t="s">
        <v>29</v>
      </c>
    </row>
    <row r="51" spans="1:20" x14ac:dyDescent="0.25">
      <c r="A51" s="12" t="s">
        <v>529</v>
      </c>
      <c r="B51" s="13" t="s">
        <v>530</v>
      </c>
      <c r="C51" s="12" t="s">
        <v>126</v>
      </c>
      <c r="D51" s="12">
        <v>16</v>
      </c>
      <c r="E51" s="12"/>
      <c r="F51" s="12"/>
      <c r="G51" s="12">
        <v>0</v>
      </c>
      <c r="H51" s="12">
        <v>1</v>
      </c>
      <c r="I51" s="12" t="s">
        <v>529</v>
      </c>
      <c r="J51" s="13" t="s">
        <v>531</v>
      </c>
      <c r="K51" s="12" t="s">
        <v>126</v>
      </c>
      <c r="L51" s="12"/>
      <c r="M51" s="12">
        <v>16</v>
      </c>
      <c r="N51" s="12"/>
      <c r="O51" s="12"/>
      <c r="P51" s="12">
        <v>0</v>
      </c>
      <c r="Q51" s="12">
        <v>1</v>
      </c>
      <c r="R51" s="12"/>
      <c r="S51" s="12" t="s">
        <v>29</v>
      </c>
      <c r="T51" s="12" t="s">
        <v>29</v>
      </c>
    </row>
    <row r="52" spans="1:20" x14ac:dyDescent="0.25">
      <c r="A52" s="12" t="s">
        <v>532</v>
      </c>
      <c r="B52" s="13" t="s">
        <v>533</v>
      </c>
      <c r="C52" s="12" t="s">
        <v>129</v>
      </c>
      <c r="D52" s="12">
        <v>16</v>
      </c>
      <c r="E52" s="12"/>
      <c r="F52" s="12"/>
      <c r="G52" s="12">
        <v>1</v>
      </c>
      <c r="H52" s="12">
        <v>1</v>
      </c>
      <c r="I52" s="12" t="s">
        <v>532</v>
      </c>
      <c r="J52" s="13" t="s">
        <v>534</v>
      </c>
      <c r="K52" s="12" t="s">
        <v>129</v>
      </c>
      <c r="L52" s="12"/>
      <c r="M52" s="12">
        <v>16</v>
      </c>
      <c r="N52" s="12"/>
      <c r="O52" s="12"/>
      <c r="P52" s="12">
        <v>1</v>
      </c>
      <c r="Q52" s="12">
        <v>1</v>
      </c>
      <c r="R52" s="12"/>
      <c r="S52" s="12" t="s">
        <v>29</v>
      </c>
      <c r="T52" s="12" t="s">
        <v>29</v>
      </c>
    </row>
    <row r="53" spans="1:20" x14ac:dyDescent="0.25">
      <c r="A53" s="12" t="s">
        <v>535</v>
      </c>
      <c r="B53" s="13" t="s">
        <v>536</v>
      </c>
      <c r="C53" s="12" t="s">
        <v>132</v>
      </c>
      <c r="D53" s="12">
        <v>35</v>
      </c>
      <c r="E53" s="12"/>
      <c r="F53" s="12"/>
      <c r="G53" s="12">
        <v>1</v>
      </c>
      <c r="H53" s="12">
        <v>1</v>
      </c>
      <c r="I53" s="12" t="s">
        <v>535</v>
      </c>
      <c r="J53" s="13" t="s">
        <v>537</v>
      </c>
      <c r="K53" s="12" t="s">
        <v>132</v>
      </c>
      <c r="L53" s="12"/>
      <c r="M53" s="12">
        <v>35</v>
      </c>
      <c r="N53" s="12"/>
      <c r="O53" s="12"/>
      <c r="P53" s="12">
        <v>1</v>
      </c>
      <c r="Q53" s="12">
        <v>1</v>
      </c>
      <c r="R53" s="12"/>
      <c r="S53" s="12" t="s">
        <v>29</v>
      </c>
      <c r="T53" s="12" t="s">
        <v>29</v>
      </c>
    </row>
    <row r="54" spans="1:20" x14ac:dyDescent="0.25">
      <c r="A54" s="12"/>
      <c r="B54" s="12"/>
      <c r="C54" s="12"/>
      <c r="D54" s="12"/>
      <c r="E54" s="12"/>
      <c r="F54" s="12"/>
      <c r="G54" s="12"/>
      <c r="H54" s="12"/>
      <c r="I54" s="12" t="s">
        <v>538</v>
      </c>
      <c r="J54" s="13" t="s">
        <v>539</v>
      </c>
      <c r="K54" s="12" t="s">
        <v>135</v>
      </c>
      <c r="L54" s="12"/>
      <c r="M54" s="12">
        <v>35</v>
      </c>
      <c r="N54" s="12"/>
      <c r="O54" s="12"/>
      <c r="P54" s="12">
        <v>1</v>
      </c>
      <c r="Q54" s="12">
        <v>1</v>
      </c>
      <c r="R54" s="12" t="s">
        <v>91</v>
      </c>
      <c r="S54" s="12" t="s">
        <v>441</v>
      </c>
      <c r="T54" s="12" t="s">
        <v>237</v>
      </c>
    </row>
    <row r="55" spans="1:20" x14ac:dyDescent="0.25">
      <c r="A55" s="12" t="s">
        <v>540</v>
      </c>
      <c r="B55" s="13" t="s">
        <v>541</v>
      </c>
      <c r="C55" s="12" t="s">
        <v>138</v>
      </c>
      <c r="D55" s="12"/>
      <c r="E55" s="12">
        <v>2</v>
      </c>
      <c r="F55" s="12"/>
      <c r="G55" s="12">
        <v>1</v>
      </c>
      <c r="H55" s="12">
        <v>1</v>
      </c>
      <c r="I55" s="12" t="s">
        <v>540</v>
      </c>
      <c r="J55" s="13" t="s">
        <v>542</v>
      </c>
      <c r="K55" s="12" t="s">
        <v>138</v>
      </c>
      <c r="L55" s="12"/>
      <c r="M55" s="12"/>
      <c r="N55" s="12">
        <v>2</v>
      </c>
      <c r="O55" s="12"/>
      <c r="P55" s="12">
        <v>1</v>
      </c>
      <c r="Q55" s="12">
        <v>1</v>
      </c>
      <c r="R55" s="12"/>
      <c r="S55" s="12" t="s">
        <v>29</v>
      </c>
      <c r="T55" s="12" t="s">
        <v>29</v>
      </c>
    </row>
    <row r="56" spans="1:20" x14ac:dyDescent="0.25">
      <c r="A56" s="12"/>
      <c r="B56" s="12"/>
      <c r="C56" s="12"/>
      <c r="D56" s="12"/>
      <c r="E56" s="12"/>
      <c r="F56" s="12"/>
      <c r="G56" s="12"/>
      <c r="H56" s="12"/>
      <c r="I56" s="12" t="s">
        <v>543</v>
      </c>
      <c r="J56" s="13" t="s">
        <v>544</v>
      </c>
      <c r="K56" s="12" t="s">
        <v>141</v>
      </c>
      <c r="L56" s="12"/>
      <c r="M56" s="12">
        <v>70</v>
      </c>
      <c r="N56" s="12"/>
      <c r="O56" s="12"/>
      <c r="P56" s="12">
        <v>0</v>
      </c>
      <c r="Q56" s="12">
        <v>1</v>
      </c>
      <c r="R56" s="12" t="s">
        <v>91</v>
      </c>
      <c r="S56" s="12" t="str">
        <f>IF(R56="NEW ELEMENT","N/A", check)</f>
        <v>N/A</v>
      </c>
      <c r="T56" s="12" t="s">
        <v>244</v>
      </c>
    </row>
    <row r="57" spans="1:20" s="32" customFormat="1" x14ac:dyDescent="0.25">
      <c r="I57" s="32" t="s">
        <v>545</v>
      </c>
      <c r="J57" s="34" t="s">
        <v>546</v>
      </c>
      <c r="K57" s="32" t="s">
        <v>144</v>
      </c>
      <c r="P57" s="32">
        <v>0</v>
      </c>
      <c r="Q57" s="32">
        <v>1</v>
      </c>
      <c r="R57" s="32" t="s">
        <v>91</v>
      </c>
      <c r="S57" s="32" t="str">
        <f>IF(R57="NEW ELEMENT","N/A", check)</f>
        <v>N/A</v>
      </c>
      <c r="T57" s="32" t="s">
        <v>151</v>
      </c>
    </row>
    <row r="58" spans="1:20" x14ac:dyDescent="0.25">
      <c r="A58" s="12" t="s">
        <v>547</v>
      </c>
      <c r="B58" s="13" t="s">
        <v>548</v>
      </c>
      <c r="C58" s="12" t="s">
        <v>188</v>
      </c>
      <c r="D58" s="12"/>
      <c r="E58" s="12">
        <v>10</v>
      </c>
      <c r="F58" s="12"/>
      <c r="G58" s="12">
        <v>1</v>
      </c>
      <c r="H58" s="12">
        <v>1</v>
      </c>
      <c r="I58" s="12" t="s">
        <v>547</v>
      </c>
      <c r="J58" s="13" t="s">
        <v>549</v>
      </c>
      <c r="K58" s="12" t="s">
        <v>188</v>
      </c>
      <c r="L58" s="12"/>
      <c r="M58" s="12"/>
      <c r="N58" s="12">
        <v>10</v>
      </c>
      <c r="O58" s="12"/>
      <c r="P58" s="12">
        <v>1</v>
      </c>
      <c r="Q58" s="12">
        <v>1</v>
      </c>
      <c r="R58" s="12"/>
      <c r="S58" s="12" t="s">
        <v>29</v>
      </c>
      <c r="T58" s="12" t="s">
        <v>29</v>
      </c>
    </row>
    <row r="59" spans="1:20" x14ac:dyDescent="0.25">
      <c r="A59" s="12" t="s">
        <v>550</v>
      </c>
      <c r="B59" s="13" t="s">
        <v>551</v>
      </c>
      <c r="C59" s="12" t="s">
        <v>193</v>
      </c>
      <c r="D59" s="12">
        <v>35</v>
      </c>
      <c r="E59" s="12"/>
      <c r="F59" s="12"/>
      <c r="G59" s="12">
        <v>1</v>
      </c>
      <c r="H59" s="12">
        <v>1</v>
      </c>
      <c r="I59" s="12" t="s">
        <v>550</v>
      </c>
      <c r="J59" s="13" t="s">
        <v>552</v>
      </c>
      <c r="K59" s="12" t="s">
        <v>193</v>
      </c>
      <c r="L59" s="12"/>
      <c r="M59" s="12">
        <v>35</v>
      </c>
      <c r="N59" s="12"/>
      <c r="O59" s="12"/>
      <c r="P59" s="12">
        <v>1</v>
      </c>
      <c r="Q59" s="12">
        <v>1</v>
      </c>
      <c r="R59" s="12"/>
      <c r="S59" s="12" t="s">
        <v>29</v>
      </c>
      <c r="T59" s="12" t="s">
        <v>29</v>
      </c>
    </row>
    <row r="60" spans="1:20" x14ac:dyDescent="0.25">
      <c r="A60" s="12" t="s">
        <v>553</v>
      </c>
      <c r="B60" s="13" t="s">
        <v>554</v>
      </c>
      <c r="C60" s="12" t="s">
        <v>198</v>
      </c>
      <c r="D60" s="12"/>
      <c r="E60" s="12">
        <v>2</v>
      </c>
      <c r="F60" s="12"/>
      <c r="G60" s="12">
        <v>1</v>
      </c>
      <c r="H60" s="12">
        <v>1</v>
      </c>
      <c r="I60" s="12" t="s">
        <v>553</v>
      </c>
      <c r="J60" s="13" t="s">
        <v>555</v>
      </c>
      <c r="K60" s="12" t="s">
        <v>198</v>
      </c>
      <c r="L60" s="12"/>
      <c r="M60" s="12"/>
      <c r="N60" s="12">
        <v>2</v>
      </c>
      <c r="O60" s="12"/>
      <c r="P60" s="12">
        <v>1</v>
      </c>
      <c r="Q60" s="12">
        <v>1</v>
      </c>
      <c r="R60" s="12"/>
      <c r="S60" s="12" t="s">
        <v>29</v>
      </c>
      <c r="T60" s="12" t="s">
        <v>29</v>
      </c>
    </row>
    <row r="61" spans="1:20" x14ac:dyDescent="0.25">
      <c r="A61" s="12"/>
      <c r="B61" s="12"/>
      <c r="C61" s="12"/>
      <c r="D61" s="12"/>
      <c r="E61" s="12"/>
      <c r="F61" s="12"/>
      <c r="G61" s="12"/>
      <c r="H61" s="12"/>
      <c r="I61" s="12" t="s">
        <v>556</v>
      </c>
      <c r="J61" s="13" t="s">
        <v>557</v>
      </c>
      <c r="K61" s="12" t="s">
        <v>558</v>
      </c>
      <c r="L61" s="12"/>
      <c r="M61" s="12"/>
      <c r="N61" s="12"/>
      <c r="O61" s="12"/>
      <c r="P61" s="12">
        <v>0</v>
      </c>
      <c r="Q61" s="12">
        <v>1</v>
      </c>
      <c r="R61" s="12" t="s">
        <v>91</v>
      </c>
      <c r="S61" s="12" t="str">
        <f>IF(R61="NEW ELEMENT","N/A", check)</f>
        <v>N/A</v>
      </c>
      <c r="T61" s="12" t="s">
        <v>151</v>
      </c>
    </row>
    <row r="62" spans="1:20" x14ac:dyDescent="0.25">
      <c r="A62" s="12" t="s">
        <v>559</v>
      </c>
      <c r="B62" s="13" t="s">
        <v>162</v>
      </c>
      <c r="C62" s="12" t="s">
        <v>148</v>
      </c>
      <c r="D62" s="12">
        <v>17</v>
      </c>
      <c r="E62" s="12"/>
      <c r="F62" s="12"/>
      <c r="G62" s="12">
        <v>1</v>
      </c>
      <c r="H62" s="12">
        <v>1</v>
      </c>
      <c r="I62" s="12" t="s">
        <v>559</v>
      </c>
      <c r="J62" s="13" t="s">
        <v>560</v>
      </c>
      <c r="K62" s="12" t="s">
        <v>148</v>
      </c>
      <c r="L62" s="12"/>
      <c r="M62" s="12">
        <v>34</v>
      </c>
      <c r="N62" s="12"/>
      <c r="O62" s="12"/>
      <c r="P62" s="12">
        <v>1</v>
      </c>
      <c r="Q62" s="12">
        <v>1</v>
      </c>
      <c r="R62" s="12"/>
      <c r="S62" s="12" t="s">
        <v>29</v>
      </c>
      <c r="T62" s="12" t="s">
        <v>561</v>
      </c>
    </row>
    <row r="63" spans="1:20" x14ac:dyDescent="0.25">
      <c r="A63" s="12"/>
      <c r="B63" s="12"/>
      <c r="C63" s="12"/>
      <c r="D63" s="12"/>
      <c r="E63" s="12"/>
      <c r="F63" s="12"/>
      <c r="G63" s="12"/>
      <c r="H63" s="12"/>
      <c r="I63" s="12" t="s">
        <v>562</v>
      </c>
      <c r="J63" s="13" t="s">
        <v>116</v>
      </c>
      <c r="K63" s="12" t="s">
        <v>117</v>
      </c>
      <c r="L63" s="12"/>
      <c r="M63" s="12">
        <v>140</v>
      </c>
      <c r="N63" s="12"/>
      <c r="O63" s="12"/>
      <c r="P63" s="12">
        <v>1</v>
      </c>
      <c r="Q63" s="12">
        <v>1</v>
      </c>
      <c r="R63" s="12" t="s">
        <v>91</v>
      </c>
      <c r="S63" s="12" t="str">
        <f>IF(R63="NEW ELEMENT","N/A", check)</f>
        <v>N/A</v>
      </c>
      <c r="T63" s="12" t="s">
        <v>123</v>
      </c>
    </row>
    <row r="64" spans="1:20" x14ac:dyDescent="0.25">
      <c r="A64" s="12"/>
      <c r="B64" s="12"/>
      <c r="C64" s="12"/>
      <c r="D64" s="12"/>
      <c r="E64" s="12"/>
      <c r="F64" s="12"/>
      <c r="G64" s="12"/>
      <c r="H64" s="12"/>
      <c r="I64" s="12" t="s">
        <v>563</v>
      </c>
      <c r="J64" s="13" t="s">
        <v>121</v>
      </c>
      <c r="K64" s="12" t="s">
        <v>122</v>
      </c>
      <c r="L64" s="12"/>
      <c r="M64" s="12">
        <v>70</v>
      </c>
      <c r="N64" s="12"/>
      <c r="O64" s="12"/>
      <c r="P64" s="12">
        <v>1</v>
      </c>
      <c r="Q64" s="12">
        <v>1</v>
      </c>
      <c r="R64" s="12" t="s">
        <v>91</v>
      </c>
      <c r="S64" s="12" t="str">
        <f>IF(R64="NEW ELEMENT","N/A", check)</f>
        <v>N/A</v>
      </c>
      <c r="T64" s="12" t="s">
        <v>123</v>
      </c>
    </row>
    <row r="65" spans="1:20" x14ac:dyDescent="0.25">
      <c r="A65" s="12"/>
      <c r="B65" s="12"/>
      <c r="C65" s="12"/>
      <c r="D65" s="12"/>
      <c r="E65" s="12"/>
      <c r="F65" s="12"/>
      <c r="G65" s="12"/>
      <c r="H65" s="12"/>
      <c r="I65" s="12" t="s">
        <v>564</v>
      </c>
      <c r="J65" s="13" t="s">
        <v>125</v>
      </c>
      <c r="K65" s="12" t="s">
        <v>126</v>
      </c>
      <c r="L65" s="12"/>
      <c r="M65" s="12">
        <v>16</v>
      </c>
      <c r="N65" s="12"/>
      <c r="O65" s="12"/>
      <c r="P65" s="12">
        <v>0</v>
      </c>
      <c r="Q65" s="12">
        <v>1</v>
      </c>
      <c r="R65" s="12" t="s">
        <v>91</v>
      </c>
      <c r="S65" s="12" t="str">
        <f>IF(R65="NEW ELEMENT","N/A", check)</f>
        <v>N/A</v>
      </c>
      <c r="T65" s="12" t="s">
        <v>123</v>
      </c>
    </row>
    <row r="66" spans="1:20" x14ac:dyDescent="0.25">
      <c r="A66" s="12"/>
      <c r="B66" s="12"/>
      <c r="C66" s="12"/>
      <c r="D66" s="12"/>
      <c r="E66" s="12"/>
      <c r="F66" s="12"/>
      <c r="G66" s="12"/>
      <c r="H66" s="12"/>
      <c r="I66" s="12" t="s">
        <v>565</v>
      </c>
      <c r="J66" s="13" t="s">
        <v>128</v>
      </c>
      <c r="K66" s="12" t="s">
        <v>129</v>
      </c>
      <c r="L66" s="12"/>
      <c r="M66" s="12">
        <v>16</v>
      </c>
      <c r="N66" s="12"/>
      <c r="O66" s="12"/>
      <c r="P66" s="12">
        <v>1</v>
      </c>
      <c r="Q66" s="12">
        <v>1</v>
      </c>
      <c r="R66" s="12" t="s">
        <v>91</v>
      </c>
      <c r="S66" s="12" t="str">
        <f>IF(R66="NEW ELEMENT","N/A", check)</f>
        <v>N/A</v>
      </c>
      <c r="T66" s="12" t="s">
        <v>123</v>
      </c>
    </row>
    <row r="67" spans="1:20" x14ac:dyDescent="0.25">
      <c r="A67" s="12"/>
      <c r="B67" s="12"/>
      <c r="C67" s="12"/>
      <c r="D67" s="12"/>
      <c r="E67" s="12"/>
      <c r="F67" s="12"/>
      <c r="G67" s="12"/>
      <c r="H67" s="12"/>
      <c r="I67" s="12" t="s">
        <v>566</v>
      </c>
      <c r="J67" s="13" t="s">
        <v>131</v>
      </c>
      <c r="K67" s="12" t="s">
        <v>132</v>
      </c>
      <c r="L67" s="12"/>
      <c r="M67" s="12">
        <v>35</v>
      </c>
      <c r="N67" s="12"/>
      <c r="O67" s="12"/>
      <c r="P67" s="12">
        <v>1</v>
      </c>
      <c r="Q67" s="12">
        <v>1</v>
      </c>
      <c r="R67" s="12" t="s">
        <v>91</v>
      </c>
      <c r="S67" s="12" t="str">
        <f>IF(R67="NEW ELEMENT","N/A", check)</f>
        <v>N/A</v>
      </c>
      <c r="T67" s="12" t="s">
        <v>123</v>
      </c>
    </row>
    <row r="68" spans="1:20" x14ac:dyDescent="0.25">
      <c r="A68" s="12"/>
      <c r="B68" s="12"/>
      <c r="C68" s="12"/>
      <c r="D68" s="12"/>
      <c r="E68" s="12"/>
      <c r="F68" s="12"/>
      <c r="G68" s="12"/>
      <c r="H68" s="12"/>
      <c r="I68" s="12" t="s">
        <v>567</v>
      </c>
      <c r="J68" s="13" t="s">
        <v>134</v>
      </c>
      <c r="K68" s="12" t="s">
        <v>135</v>
      </c>
      <c r="L68" s="12"/>
      <c r="M68" s="12">
        <v>35</v>
      </c>
      <c r="N68" s="12"/>
      <c r="O68" s="12"/>
      <c r="P68" s="12">
        <v>1</v>
      </c>
      <c r="Q68" s="12">
        <v>1</v>
      </c>
      <c r="R68" s="12" t="s">
        <v>91</v>
      </c>
      <c r="S68" s="12" t="str">
        <f>IF(R68="NEW ELEMENT","N/A", check)</f>
        <v>N/A</v>
      </c>
      <c r="T68" s="12" t="s">
        <v>123</v>
      </c>
    </row>
    <row r="69" spans="1:20" x14ac:dyDescent="0.25">
      <c r="A69" s="12"/>
      <c r="B69" s="12"/>
      <c r="C69" s="12"/>
      <c r="D69" s="12"/>
      <c r="E69" s="12"/>
      <c r="F69" s="12"/>
      <c r="G69" s="12"/>
      <c r="H69" s="12"/>
      <c r="I69" s="12" t="s">
        <v>568</v>
      </c>
      <c r="J69" s="13" t="s">
        <v>137</v>
      </c>
      <c r="K69" s="12" t="s">
        <v>138</v>
      </c>
      <c r="L69" s="12"/>
      <c r="M69" s="12"/>
      <c r="N69" s="12">
        <v>2</v>
      </c>
      <c r="O69" s="12"/>
      <c r="P69" s="12">
        <v>1</v>
      </c>
      <c r="Q69" s="12">
        <v>1</v>
      </c>
      <c r="R69" s="12" t="s">
        <v>91</v>
      </c>
      <c r="S69" s="12" t="str">
        <f>IF(R69="NEW ELEMENT","N/A", check)</f>
        <v>N/A</v>
      </c>
      <c r="T69" s="12" t="s">
        <v>123</v>
      </c>
    </row>
    <row r="70" spans="1:20" x14ac:dyDescent="0.25">
      <c r="A70" s="12"/>
      <c r="B70" s="12"/>
      <c r="C70" s="12"/>
      <c r="D70" s="12"/>
      <c r="E70" s="12"/>
      <c r="F70" s="12"/>
      <c r="G70" s="12"/>
      <c r="H70" s="12"/>
      <c r="I70" s="12" t="s">
        <v>569</v>
      </c>
      <c r="J70" s="13" t="s">
        <v>140</v>
      </c>
      <c r="K70" s="12" t="s">
        <v>141</v>
      </c>
      <c r="L70" s="12"/>
      <c r="M70" s="12">
        <v>70</v>
      </c>
      <c r="N70" s="12"/>
      <c r="O70" s="12"/>
      <c r="P70" s="12">
        <v>0</v>
      </c>
      <c r="Q70" s="12">
        <v>1</v>
      </c>
      <c r="R70" s="12" t="s">
        <v>91</v>
      </c>
      <c r="S70" s="12" t="str">
        <f>IF(R70="NEW ELEMENT","N/A", check)</f>
        <v>N/A</v>
      </c>
      <c r="T70" s="12" t="s">
        <v>123</v>
      </c>
    </row>
    <row r="71" spans="1:20" x14ac:dyDescent="0.25">
      <c r="A71" s="12"/>
      <c r="B71" s="12"/>
      <c r="C71" s="12"/>
      <c r="D71" s="12"/>
      <c r="E71" s="12"/>
      <c r="F71" s="12"/>
      <c r="G71" s="12"/>
      <c r="H71" s="12"/>
      <c r="I71" s="12" t="s">
        <v>570</v>
      </c>
      <c r="J71" s="13" t="s">
        <v>143</v>
      </c>
      <c r="K71" s="12" t="s">
        <v>144</v>
      </c>
      <c r="L71" s="12"/>
      <c r="M71" s="12"/>
      <c r="N71" s="12"/>
      <c r="O71" s="12"/>
      <c r="P71" s="12">
        <v>1</v>
      </c>
      <c r="Q71" s="12">
        <v>1</v>
      </c>
      <c r="R71" s="12" t="s">
        <v>91</v>
      </c>
      <c r="S71" s="12" t="str">
        <f>IF(R71="NEW ELEMENT","N/A", check)</f>
        <v>N/A</v>
      </c>
      <c r="T71" s="12" t="s">
        <v>123</v>
      </c>
    </row>
    <row r="72" spans="1:20" x14ac:dyDescent="0.25">
      <c r="A72" s="12"/>
      <c r="B72" s="12"/>
      <c r="C72" s="12"/>
      <c r="D72" s="12"/>
      <c r="E72" s="12"/>
      <c r="F72" s="12"/>
      <c r="G72" s="12"/>
      <c r="H72" s="12"/>
      <c r="I72" s="12" t="s">
        <v>571</v>
      </c>
      <c r="J72" s="13" t="s">
        <v>147</v>
      </c>
      <c r="K72" s="12" t="s">
        <v>148</v>
      </c>
      <c r="L72" s="12"/>
      <c r="M72" s="12">
        <v>35</v>
      </c>
      <c r="N72" s="12"/>
      <c r="O72" s="12"/>
      <c r="P72" s="12">
        <v>1</v>
      </c>
      <c r="Q72" s="12">
        <v>1</v>
      </c>
      <c r="R72" s="12" t="s">
        <v>91</v>
      </c>
      <c r="S72" s="12" t="str">
        <f>IF(R72="NEW ELEMENT","N/A", check)</f>
        <v>N/A</v>
      </c>
      <c r="T72" s="12" t="s">
        <v>123</v>
      </c>
    </row>
    <row r="73" spans="1:20" x14ac:dyDescent="0.25">
      <c r="A73" s="12"/>
      <c r="B73" s="12"/>
      <c r="C73" s="12"/>
      <c r="D73" s="12"/>
      <c r="E73" s="12"/>
      <c r="F73" s="12"/>
      <c r="G73" s="12"/>
      <c r="H73" s="12"/>
      <c r="I73" s="12" t="s">
        <v>572</v>
      </c>
      <c r="J73" s="13" t="s">
        <v>150</v>
      </c>
      <c r="K73" s="12" t="s">
        <v>40</v>
      </c>
      <c r="L73" s="12"/>
      <c r="M73" s="12"/>
      <c r="N73" s="12">
        <v>4</v>
      </c>
      <c r="O73" s="12"/>
      <c r="P73" s="12">
        <v>1</v>
      </c>
      <c r="Q73" s="12">
        <v>1</v>
      </c>
      <c r="R73" s="12" t="s">
        <v>91</v>
      </c>
      <c r="S73" s="12" t="str">
        <f>IF(R73="NEW ELEMENT","N/A", check)</f>
        <v>N/A</v>
      </c>
      <c r="T73" s="12" t="s">
        <v>573</v>
      </c>
    </row>
    <row r="74" spans="1:20" x14ac:dyDescent="0.25">
      <c r="A74" s="12"/>
      <c r="B74" s="12"/>
      <c r="C74" s="12"/>
      <c r="D74" s="12"/>
      <c r="E74" s="12"/>
      <c r="F74" s="12"/>
      <c r="G74" s="12"/>
      <c r="H74" s="12"/>
      <c r="I74" s="12" t="s">
        <v>574</v>
      </c>
      <c r="J74" s="13" t="s">
        <v>575</v>
      </c>
      <c r="K74" s="12" t="s">
        <v>291</v>
      </c>
      <c r="L74" s="12"/>
      <c r="M74" s="12">
        <v>140</v>
      </c>
      <c r="N74" s="12"/>
      <c r="O74" s="12"/>
      <c r="P74" s="12">
        <v>1</v>
      </c>
      <c r="Q74" s="12">
        <v>1</v>
      </c>
      <c r="R74" s="12" t="s">
        <v>91</v>
      </c>
      <c r="S74" s="12" t="str">
        <f>IF(R74="NEW ELEMENT","N/A", check)</f>
        <v>N/A</v>
      </c>
      <c r="T74" s="12" t="s">
        <v>573</v>
      </c>
    </row>
    <row r="75" spans="1:20" x14ac:dyDescent="0.25">
      <c r="A75" s="12" t="s">
        <v>576</v>
      </c>
      <c r="B75" s="13" t="s">
        <v>577</v>
      </c>
      <c r="C75" s="12" t="s">
        <v>294</v>
      </c>
      <c r="D75" s="12">
        <v>35</v>
      </c>
      <c r="E75" s="12"/>
      <c r="F75" s="12"/>
      <c r="G75" s="12">
        <v>0</v>
      </c>
      <c r="H75" s="12">
        <v>1</v>
      </c>
      <c r="I75" s="12" t="s">
        <v>576</v>
      </c>
      <c r="J75" s="13" t="s">
        <v>578</v>
      </c>
      <c r="K75" s="12" t="s">
        <v>294</v>
      </c>
      <c r="L75" s="12"/>
      <c r="M75" s="12">
        <v>35</v>
      </c>
      <c r="N75" s="12"/>
      <c r="O75" s="12"/>
      <c r="P75" s="12">
        <v>0</v>
      </c>
      <c r="Q75" s="12">
        <v>1</v>
      </c>
      <c r="R75" s="12"/>
      <c r="S75" s="12" t="s">
        <v>29</v>
      </c>
      <c r="T75" s="12" t="s">
        <v>29</v>
      </c>
    </row>
    <row r="76" spans="1:20" x14ac:dyDescent="0.25">
      <c r="A76" s="12" t="s">
        <v>579</v>
      </c>
      <c r="B76" s="13" t="s">
        <v>580</v>
      </c>
      <c r="C76" s="12" t="s">
        <v>299</v>
      </c>
      <c r="D76" s="12"/>
      <c r="E76" s="12"/>
      <c r="F76" s="12"/>
      <c r="G76" s="12">
        <v>1</v>
      </c>
      <c r="H76" s="12">
        <v>1</v>
      </c>
      <c r="I76" s="12" t="s">
        <v>579</v>
      </c>
      <c r="J76" s="13" t="s">
        <v>581</v>
      </c>
      <c r="K76" s="12" t="s">
        <v>299</v>
      </c>
      <c r="L76" s="12"/>
      <c r="M76" s="12"/>
      <c r="N76" s="12">
        <v>4</v>
      </c>
      <c r="O76" s="12"/>
      <c r="P76" s="12">
        <v>1</v>
      </c>
      <c r="Q76" s="12">
        <v>1</v>
      </c>
      <c r="R76" s="12"/>
      <c r="S76" s="12" t="s">
        <v>29</v>
      </c>
      <c r="T76" s="12" t="s">
        <v>29</v>
      </c>
    </row>
    <row r="77" spans="1:20" x14ac:dyDescent="0.25">
      <c r="A77" s="12" t="s">
        <v>582</v>
      </c>
      <c r="B77" s="13" t="s">
        <v>583</v>
      </c>
      <c r="C77" s="12" t="s">
        <v>304</v>
      </c>
      <c r="D77" s="12">
        <v>2048</v>
      </c>
      <c r="E77" s="12"/>
      <c r="F77" s="12"/>
      <c r="G77" s="12">
        <v>1</v>
      </c>
      <c r="H77" s="12">
        <v>1</v>
      </c>
      <c r="I77" s="12" t="s">
        <v>582</v>
      </c>
      <c r="J77" s="13" t="s">
        <v>584</v>
      </c>
      <c r="K77" s="12" t="s">
        <v>304</v>
      </c>
      <c r="L77" s="12"/>
      <c r="M77" s="12">
        <v>2048</v>
      </c>
      <c r="N77" s="12"/>
      <c r="O77" s="12"/>
      <c r="P77" s="12">
        <v>1</v>
      </c>
      <c r="Q77" s="12">
        <v>1</v>
      </c>
      <c r="R77" s="12"/>
      <c r="S77" s="12" t="s">
        <v>29</v>
      </c>
      <c r="T77" s="12" t="s">
        <v>585</v>
      </c>
    </row>
    <row r="78" spans="1:20" x14ac:dyDescent="0.25">
      <c r="A78" s="12" t="s">
        <v>586</v>
      </c>
      <c r="B78" s="13" t="s">
        <v>587</v>
      </c>
      <c r="C78" s="12" t="s">
        <v>310</v>
      </c>
      <c r="D78" s="12">
        <v>140</v>
      </c>
      <c r="E78" s="12"/>
      <c r="F78" s="12"/>
      <c r="G78" s="12">
        <v>0</v>
      </c>
      <c r="H78" s="12">
        <v>1</v>
      </c>
      <c r="I78" s="12" t="s">
        <v>586</v>
      </c>
      <c r="J78" s="13" t="s">
        <v>588</v>
      </c>
      <c r="K78" s="12" t="s">
        <v>310</v>
      </c>
      <c r="L78" s="12"/>
      <c r="M78" s="12">
        <v>140</v>
      </c>
      <c r="N78" s="12"/>
      <c r="O78" s="12"/>
      <c r="P78" s="12">
        <v>0</v>
      </c>
      <c r="Q78" s="12">
        <v>1</v>
      </c>
      <c r="R78" s="12"/>
      <c r="S78" s="12" t="s">
        <v>29</v>
      </c>
      <c r="T78" s="12" t="s">
        <v>589</v>
      </c>
    </row>
    <row r="79" spans="1:20" x14ac:dyDescent="0.25">
      <c r="A79" s="12"/>
      <c r="B79" s="12"/>
      <c r="C79" s="12"/>
      <c r="D79" s="12"/>
      <c r="E79" s="12"/>
      <c r="F79" s="12"/>
      <c r="G79" s="12"/>
      <c r="H79" s="12"/>
      <c r="I79" s="12" t="s">
        <v>590</v>
      </c>
      <c r="J79" s="13" t="s">
        <v>209</v>
      </c>
      <c r="K79" s="12" t="s">
        <v>85</v>
      </c>
      <c r="L79" s="12"/>
      <c r="M79" s="12">
        <v>35</v>
      </c>
      <c r="N79" s="12"/>
      <c r="O79" s="12"/>
      <c r="P79" s="12">
        <v>1</v>
      </c>
      <c r="Q79" s="12">
        <v>1</v>
      </c>
      <c r="R79" s="12" t="s">
        <v>91</v>
      </c>
      <c r="S79" s="12" t="str">
        <f>IF(R79="NEW ELEMENT","N/A", check)</f>
        <v>N/A</v>
      </c>
      <c r="T79" s="12" t="s">
        <v>151</v>
      </c>
    </row>
    <row r="80" spans="1:20" x14ac:dyDescent="0.25">
      <c r="A80" s="12"/>
      <c r="B80" s="12"/>
      <c r="C80" s="12"/>
      <c r="D80" s="12"/>
      <c r="E80" s="12"/>
      <c r="F80" s="12"/>
      <c r="G80" s="12"/>
      <c r="H80" s="12"/>
      <c r="I80" s="12" t="s">
        <v>591</v>
      </c>
      <c r="J80" s="13" t="s">
        <v>592</v>
      </c>
      <c r="K80" s="12" t="s">
        <v>328</v>
      </c>
      <c r="L80" s="12"/>
      <c r="M80" s="12"/>
      <c r="N80" s="12"/>
      <c r="O80" s="12">
        <v>18</v>
      </c>
      <c r="P80" s="12">
        <v>1</v>
      </c>
      <c r="Q80" s="12">
        <v>1</v>
      </c>
      <c r="R80" s="12" t="s">
        <v>91</v>
      </c>
      <c r="S80" s="12" t="str">
        <f>IF(R80="NEW ELEMENT","N/A", check)</f>
        <v>N/A</v>
      </c>
      <c r="T80" s="12" t="s">
        <v>151</v>
      </c>
    </row>
    <row r="81" spans="1:20" x14ac:dyDescent="0.25">
      <c r="A81" s="12"/>
      <c r="B81" s="12"/>
      <c r="C81" s="12"/>
      <c r="D81" s="12"/>
      <c r="E81" s="12"/>
      <c r="F81" s="12"/>
      <c r="G81" s="12"/>
      <c r="H81" s="12"/>
      <c r="I81" s="12" t="s">
        <v>593</v>
      </c>
      <c r="J81" s="13" t="s">
        <v>594</v>
      </c>
      <c r="K81" s="12" t="s">
        <v>54</v>
      </c>
      <c r="L81" s="12"/>
      <c r="M81" s="12"/>
      <c r="N81" s="12">
        <v>3</v>
      </c>
      <c r="O81" s="12"/>
      <c r="P81" s="12"/>
      <c r="Q81" s="12"/>
      <c r="R81" s="12" t="s">
        <v>91</v>
      </c>
      <c r="S81" s="12" t="str">
        <f>IF(R81="NEW ELEMENT","N/A", check)</f>
        <v>N/A</v>
      </c>
      <c r="T81" s="12" t="s">
        <v>151</v>
      </c>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79"/>
  <sheetViews>
    <sheetView topLeftCell="M1" zoomScale="75" zoomScaleNormal="75" workbookViewId="0">
      <pane ySplit="1" topLeftCell="A2" activePane="bottomLeft" state="frozen"/>
      <selection activeCell="M1" sqref="M1"/>
      <selection pane="bottomLeft" activeCell="A24" sqref="A24"/>
    </sheetView>
  </sheetViews>
  <sheetFormatPr defaultRowHeight="15" x14ac:dyDescent="0.25"/>
  <cols>
    <col min="1" max="1" width="15.140625" customWidth="1"/>
    <col min="2" max="2" width="8.7109375" customWidth="1"/>
    <col min="3" max="3" width="14.42578125" customWidth="1"/>
    <col min="4" max="4" width="9.28515625" customWidth="1"/>
    <col min="5" max="5" width="10.28515625" customWidth="1"/>
    <col min="6" max="6" width="7.5703125" customWidth="1"/>
    <col min="7" max="7" width="6.85546875" customWidth="1"/>
    <col min="8" max="8" width="6.7109375" customWidth="1"/>
    <col min="9" max="9" width="92.140625" customWidth="1"/>
    <col min="10" max="10" width="7.85546875" customWidth="1"/>
    <col min="11" max="11" width="16.85546875" customWidth="1"/>
    <col min="12" max="12" width="11.5703125" hidden="1"/>
    <col min="13" max="13" width="8.5703125" customWidth="1"/>
    <col min="14" max="14" width="10.85546875" customWidth="1"/>
    <col min="15" max="15" width="7.140625" customWidth="1"/>
    <col min="16" max="16" width="7" customWidth="1"/>
    <col min="17" max="17" width="7.28515625" customWidth="1"/>
    <col min="18" max="18" width="15.140625" customWidth="1"/>
    <col min="19" max="20" width="37.7109375" customWidth="1"/>
    <col min="21" max="1025" width="8.5703125" customWidth="1"/>
  </cols>
  <sheetData>
    <row r="1" spans="1:20" s="4" customFormat="1"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23</v>
      </c>
      <c r="T1" s="11" t="s">
        <v>24</v>
      </c>
    </row>
    <row r="2" spans="1:20" x14ac:dyDescent="0.25">
      <c r="A2" s="35" t="s">
        <v>403</v>
      </c>
      <c r="B2" s="36" t="s">
        <v>26</v>
      </c>
      <c r="C2" s="35" t="s">
        <v>27</v>
      </c>
      <c r="D2" s="35">
        <v>35</v>
      </c>
      <c r="E2" s="35"/>
      <c r="F2" s="35"/>
      <c r="G2" s="35">
        <v>1</v>
      </c>
      <c r="H2" s="35">
        <v>1</v>
      </c>
      <c r="I2" s="35" t="s">
        <v>403</v>
      </c>
      <c r="J2" s="36" t="s">
        <v>26</v>
      </c>
      <c r="K2" s="35" t="s">
        <v>27</v>
      </c>
      <c r="L2" s="35"/>
      <c r="M2" s="35">
        <v>35</v>
      </c>
      <c r="N2" s="35"/>
      <c r="O2" s="35"/>
      <c r="P2" s="35">
        <v>1</v>
      </c>
      <c r="Q2" s="35">
        <v>1</v>
      </c>
      <c r="R2" s="35"/>
      <c r="S2" s="35" t="s">
        <v>29</v>
      </c>
      <c r="T2" s="35" t="s">
        <v>29</v>
      </c>
    </row>
    <row r="3" spans="1:20" x14ac:dyDescent="0.25">
      <c r="A3" s="35" t="s">
        <v>404</v>
      </c>
      <c r="B3" s="36" t="s">
        <v>35</v>
      </c>
      <c r="C3" s="35" t="s">
        <v>36</v>
      </c>
      <c r="D3" s="35"/>
      <c r="E3" s="35">
        <v>19</v>
      </c>
      <c r="F3" s="35"/>
      <c r="G3" s="35">
        <v>1</v>
      </c>
      <c r="H3" s="35">
        <v>1</v>
      </c>
      <c r="I3" s="35" t="s">
        <v>404</v>
      </c>
      <c r="J3" s="36" t="s">
        <v>35</v>
      </c>
      <c r="K3" s="35" t="s">
        <v>36</v>
      </c>
      <c r="L3" s="35"/>
      <c r="M3" s="35"/>
      <c r="N3" s="35">
        <v>19</v>
      </c>
      <c r="O3" s="35"/>
      <c r="P3" s="35">
        <v>1</v>
      </c>
      <c r="Q3" s="35">
        <v>1</v>
      </c>
      <c r="R3" s="35"/>
      <c r="S3" s="35" t="s">
        <v>29</v>
      </c>
      <c r="T3" s="35" t="s">
        <v>29</v>
      </c>
    </row>
    <row r="4" spans="1:20" x14ac:dyDescent="0.25">
      <c r="A4" s="35" t="s">
        <v>405</v>
      </c>
      <c r="B4" s="36" t="s">
        <v>406</v>
      </c>
      <c r="C4" s="35" t="s">
        <v>46</v>
      </c>
      <c r="D4" s="35"/>
      <c r="E4" s="35"/>
      <c r="F4" s="35"/>
      <c r="G4" s="35">
        <v>1</v>
      </c>
      <c r="H4" s="35">
        <v>1</v>
      </c>
      <c r="I4" s="35" t="s">
        <v>405</v>
      </c>
      <c r="J4" s="36" t="s">
        <v>406</v>
      </c>
      <c r="K4" s="35" t="s">
        <v>46</v>
      </c>
      <c r="L4" s="35"/>
      <c r="M4" s="35"/>
      <c r="N4" s="35">
        <v>1</v>
      </c>
      <c r="O4" s="35"/>
      <c r="P4" s="35">
        <v>1</v>
      </c>
      <c r="Q4" s="35">
        <v>1</v>
      </c>
      <c r="R4" s="35"/>
      <c r="S4" s="35" t="s">
        <v>29</v>
      </c>
      <c r="T4" s="35" t="s">
        <v>29</v>
      </c>
    </row>
    <row r="5" spans="1:20" x14ac:dyDescent="0.25">
      <c r="A5" s="35" t="s">
        <v>407</v>
      </c>
      <c r="B5" s="36" t="s">
        <v>408</v>
      </c>
      <c r="C5" s="35" t="s">
        <v>148</v>
      </c>
      <c r="D5" s="35">
        <v>9</v>
      </c>
      <c r="E5" s="35"/>
      <c r="F5" s="35"/>
      <c r="G5" s="35">
        <v>1</v>
      </c>
      <c r="H5" s="35">
        <v>1</v>
      </c>
      <c r="I5" s="35" t="s">
        <v>407</v>
      </c>
      <c r="J5" s="36" t="s">
        <v>409</v>
      </c>
      <c r="K5" s="35" t="s">
        <v>148</v>
      </c>
      <c r="L5" s="35"/>
      <c r="M5" s="35">
        <v>9</v>
      </c>
      <c r="N5" s="35"/>
      <c r="O5" s="35"/>
      <c r="P5" s="35">
        <v>1</v>
      </c>
      <c r="Q5" s="35">
        <v>1</v>
      </c>
      <c r="R5" s="35"/>
      <c r="S5" s="35" t="s">
        <v>43</v>
      </c>
      <c r="T5" s="35" t="s">
        <v>29</v>
      </c>
    </row>
    <row r="6" spans="1:20" x14ac:dyDescent="0.25">
      <c r="A6" s="35" t="s">
        <v>410</v>
      </c>
      <c r="B6" s="36" t="s">
        <v>349</v>
      </c>
      <c r="C6" s="35" t="s">
        <v>411</v>
      </c>
      <c r="D6" s="35">
        <v>35</v>
      </c>
      <c r="E6" s="35"/>
      <c r="F6" s="35"/>
      <c r="G6" s="35">
        <v>1</v>
      </c>
      <c r="H6" s="35">
        <v>1</v>
      </c>
      <c r="I6" s="35" t="s">
        <v>410</v>
      </c>
      <c r="J6" s="36" t="s">
        <v>349</v>
      </c>
      <c r="K6" s="35" t="s">
        <v>411</v>
      </c>
      <c r="L6" s="35"/>
      <c r="M6" s="35">
        <v>35</v>
      </c>
      <c r="N6" s="35"/>
      <c r="O6" s="35"/>
      <c r="P6" s="35">
        <v>1</v>
      </c>
      <c r="Q6" s="35">
        <v>1</v>
      </c>
      <c r="R6" s="35"/>
      <c r="S6" s="35" t="s">
        <v>29</v>
      </c>
      <c r="T6" s="35" t="s">
        <v>29</v>
      </c>
    </row>
    <row r="7" spans="1:20" x14ac:dyDescent="0.25">
      <c r="A7" s="35" t="s">
        <v>412</v>
      </c>
      <c r="B7" s="36" t="s">
        <v>63</v>
      </c>
      <c r="C7" s="35" t="s">
        <v>413</v>
      </c>
      <c r="D7" s="35"/>
      <c r="E7" s="35"/>
      <c r="F7" s="35"/>
      <c r="G7" s="35">
        <v>1</v>
      </c>
      <c r="H7" s="35">
        <v>1</v>
      </c>
      <c r="I7" s="35" t="s">
        <v>412</v>
      </c>
      <c r="J7" s="36" t="s">
        <v>63</v>
      </c>
      <c r="K7" s="35" t="s">
        <v>413</v>
      </c>
      <c r="L7" s="35"/>
      <c r="M7" s="35"/>
      <c r="N7" s="35">
        <v>3</v>
      </c>
      <c r="O7" s="35"/>
      <c r="P7" s="35">
        <v>1</v>
      </c>
      <c r="Q7" s="35">
        <v>1</v>
      </c>
      <c r="R7" s="35"/>
      <c r="S7" s="35" t="s">
        <v>29</v>
      </c>
      <c r="T7" s="35" t="s">
        <v>29</v>
      </c>
    </row>
    <row r="8" spans="1:20" x14ac:dyDescent="0.25">
      <c r="A8" s="35" t="s">
        <v>414</v>
      </c>
      <c r="B8" s="36" t="s">
        <v>84</v>
      </c>
      <c r="C8" s="35" t="s">
        <v>415</v>
      </c>
      <c r="D8" s="35"/>
      <c r="E8" s="35">
        <v>10</v>
      </c>
      <c r="F8" s="35"/>
      <c r="G8" s="35">
        <v>1</v>
      </c>
      <c r="H8" s="35">
        <v>1</v>
      </c>
      <c r="I8" s="35" t="s">
        <v>416</v>
      </c>
      <c r="J8" s="36" t="s">
        <v>87</v>
      </c>
      <c r="K8" s="35" t="s">
        <v>417</v>
      </c>
      <c r="L8" s="35"/>
      <c r="M8" s="35"/>
      <c r="N8" s="35">
        <v>10</v>
      </c>
      <c r="O8" s="35"/>
      <c r="P8" s="35">
        <v>1</v>
      </c>
      <c r="Q8" s="35">
        <v>1</v>
      </c>
      <c r="R8" s="35"/>
      <c r="S8" s="35" t="s">
        <v>29</v>
      </c>
      <c r="T8" s="35" t="s">
        <v>29</v>
      </c>
    </row>
    <row r="9" spans="1:20" x14ac:dyDescent="0.25">
      <c r="A9" s="37" t="s">
        <v>414</v>
      </c>
      <c r="B9" s="38" t="s">
        <v>84</v>
      </c>
      <c r="C9" s="37" t="s">
        <v>415</v>
      </c>
      <c r="D9" s="37"/>
      <c r="E9" s="37">
        <v>10</v>
      </c>
      <c r="F9" s="37"/>
      <c r="G9" s="37">
        <v>1</v>
      </c>
      <c r="H9" s="37">
        <v>1</v>
      </c>
      <c r="I9" s="37" t="s">
        <v>418</v>
      </c>
      <c r="J9" s="38" t="s">
        <v>419</v>
      </c>
      <c r="K9" s="37" t="s">
        <v>420</v>
      </c>
      <c r="L9" s="37"/>
      <c r="M9" s="37"/>
      <c r="N9" s="37">
        <v>19</v>
      </c>
      <c r="O9" s="37"/>
      <c r="P9" s="37">
        <v>1</v>
      </c>
      <c r="Q9" s="37">
        <v>1</v>
      </c>
      <c r="R9" s="37"/>
      <c r="S9" s="37" t="s">
        <v>118</v>
      </c>
      <c r="T9" s="37" t="s">
        <v>421</v>
      </c>
    </row>
    <row r="10" spans="1:20" x14ac:dyDescent="0.25">
      <c r="A10" s="39"/>
      <c r="B10" s="39"/>
      <c r="C10" s="39"/>
      <c r="D10" s="39"/>
      <c r="E10" s="39"/>
      <c r="F10" s="39"/>
      <c r="G10" s="39"/>
      <c r="H10" s="39"/>
      <c r="I10" s="39" t="s">
        <v>422</v>
      </c>
      <c r="J10" s="40" t="s">
        <v>90</v>
      </c>
      <c r="K10" s="39" t="s">
        <v>417</v>
      </c>
      <c r="L10" s="39"/>
      <c r="M10" s="39"/>
      <c r="N10" s="39"/>
      <c r="O10" s="39"/>
      <c r="P10" s="39">
        <v>1</v>
      </c>
      <c r="Q10" s="39">
        <v>1</v>
      </c>
      <c r="R10" s="39" t="s">
        <v>91</v>
      </c>
      <c r="S10" s="39" t="s">
        <v>118</v>
      </c>
      <c r="T10" s="39" t="s">
        <v>151</v>
      </c>
    </row>
    <row r="11" spans="1:20" x14ac:dyDescent="0.25">
      <c r="A11" s="39"/>
      <c r="B11" s="39"/>
      <c r="C11" s="39"/>
      <c r="D11" s="39"/>
      <c r="E11" s="39"/>
      <c r="F11" s="39"/>
      <c r="G11" s="39"/>
      <c r="H11" s="39"/>
      <c r="I11" s="39" t="s">
        <v>424</v>
      </c>
      <c r="J11" s="40" t="s">
        <v>95</v>
      </c>
      <c r="K11" s="39" t="s">
        <v>420</v>
      </c>
      <c r="L11" s="39"/>
      <c r="M11" s="39"/>
      <c r="N11" s="39"/>
      <c r="O11" s="39"/>
      <c r="P11" s="39">
        <v>1</v>
      </c>
      <c r="Q11" s="39">
        <v>1</v>
      </c>
      <c r="R11" s="39" t="s">
        <v>91</v>
      </c>
      <c r="S11" s="39" t="s">
        <v>118</v>
      </c>
      <c r="T11" s="39" t="s">
        <v>151</v>
      </c>
    </row>
    <row r="12" spans="1:20" x14ac:dyDescent="0.25">
      <c r="A12" s="35" t="s">
        <v>425</v>
      </c>
      <c r="B12" s="36" t="s">
        <v>419</v>
      </c>
      <c r="C12" s="35" t="s">
        <v>117</v>
      </c>
      <c r="D12" s="35">
        <v>140</v>
      </c>
      <c r="E12" s="35"/>
      <c r="F12" s="35"/>
      <c r="G12" s="35">
        <v>1</v>
      </c>
      <c r="H12" s="35">
        <v>1</v>
      </c>
      <c r="I12" s="35" t="s">
        <v>425</v>
      </c>
      <c r="J12" s="36" t="s">
        <v>426</v>
      </c>
      <c r="K12" s="35" t="s">
        <v>117</v>
      </c>
      <c r="L12" s="35"/>
      <c r="M12" s="35">
        <v>140</v>
      </c>
      <c r="N12" s="35"/>
      <c r="O12" s="35"/>
      <c r="P12" s="35">
        <v>1</v>
      </c>
      <c r="Q12" s="35">
        <v>1</v>
      </c>
      <c r="R12" s="35"/>
      <c r="S12" s="35" t="s">
        <v>29</v>
      </c>
      <c r="T12" s="35" t="s">
        <v>29</v>
      </c>
    </row>
    <row r="13" spans="1:20" x14ac:dyDescent="0.25">
      <c r="A13" s="35" t="s">
        <v>427</v>
      </c>
      <c r="B13" s="36" t="s">
        <v>428</v>
      </c>
      <c r="C13" s="35" t="s">
        <v>122</v>
      </c>
      <c r="D13" s="35">
        <v>70</v>
      </c>
      <c r="E13" s="35"/>
      <c r="F13" s="35"/>
      <c r="G13" s="35">
        <v>1</v>
      </c>
      <c r="H13" s="35">
        <v>1</v>
      </c>
      <c r="I13" s="35" t="s">
        <v>427</v>
      </c>
      <c r="J13" s="36" t="s">
        <v>429</v>
      </c>
      <c r="K13" s="35" t="s">
        <v>122</v>
      </c>
      <c r="L13" s="35"/>
      <c r="M13" s="35">
        <v>70</v>
      </c>
      <c r="N13" s="35"/>
      <c r="O13" s="35"/>
      <c r="P13" s="35">
        <v>1</v>
      </c>
      <c r="Q13" s="35">
        <v>1</v>
      </c>
      <c r="R13" s="35"/>
      <c r="S13" s="35" t="s">
        <v>29</v>
      </c>
      <c r="T13" s="35" t="s">
        <v>29</v>
      </c>
    </row>
    <row r="14" spans="1:20" x14ac:dyDescent="0.25">
      <c r="A14" s="35" t="s">
        <v>430</v>
      </c>
      <c r="B14" s="36" t="s">
        <v>431</v>
      </c>
      <c r="C14" s="35" t="s">
        <v>126</v>
      </c>
      <c r="D14" s="35">
        <v>16</v>
      </c>
      <c r="E14" s="35"/>
      <c r="F14" s="35"/>
      <c r="G14" s="35">
        <v>0</v>
      </c>
      <c r="H14" s="35">
        <v>1</v>
      </c>
      <c r="I14" s="35" t="s">
        <v>430</v>
      </c>
      <c r="J14" s="36" t="s">
        <v>432</v>
      </c>
      <c r="K14" s="35" t="s">
        <v>126</v>
      </c>
      <c r="L14" s="35"/>
      <c r="M14" s="35">
        <v>16</v>
      </c>
      <c r="N14" s="35"/>
      <c r="O14" s="35"/>
      <c r="P14" s="35">
        <v>0</v>
      </c>
      <c r="Q14" s="35">
        <v>1</v>
      </c>
      <c r="R14" s="35"/>
      <c r="S14" s="35" t="s">
        <v>29</v>
      </c>
      <c r="T14" s="35" t="s">
        <v>29</v>
      </c>
    </row>
    <row r="15" spans="1:20" x14ac:dyDescent="0.25">
      <c r="A15" s="35" t="s">
        <v>433</v>
      </c>
      <c r="B15" s="36" t="s">
        <v>434</v>
      </c>
      <c r="C15" s="35" t="s">
        <v>129</v>
      </c>
      <c r="D15" s="35">
        <v>16</v>
      </c>
      <c r="E15" s="35"/>
      <c r="F15" s="35"/>
      <c r="G15" s="35">
        <v>1</v>
      </c>
      <c r="H15" s="35">
        <v>1</v>
      </c>
      <c r="I15" s="35" t="s">
        <v>433</v>
      </c>
      <c r="J15" s="36" t="s">
        <v>435</v>
      </c>
      <c r="K15" s="35" t="s">
        <v>129</v>
      </c>
      <c r="L15" s="35"/>
      <c r="M15" s="35">
        <v>16</v>
      </c>
      <c r="N15" s="35"/>
      <c r="O15" s="35"/>
      <c r="P15" s="35">
        <v>1</v>
      </c>
      <c r="Q15" s="35">
        <v>1</v>
      </c>
      <c r="R15" s="35"/>
      <c r="S15" s="35" t="s">
        <v>29</v>
      </c>
      <c r="T15" s="35" t="s">
        <v>29</v>
      </c>
    </row>
    <row r="16" spans="1:20" x14ac:dyDescent="0.25">
      <c r="A16" s="35" t="s">
        <v>436</v>
      </c>
      <c r="B16" s="36" t="s">
        <v>437</v>
      </c>
      <c r="C16" s="35" t="s">
        <v>132</v>
      </c>
      <c r="D16" s="35">
        <v>35</v>
      </c>
      <c r="E16" s="35"/>
      <c r="F16" s="35"/>
      <c r="G16" s="35">
        <v>1</v>
      </c>
      <c r="H16" s="35">
        <v>1</v>
      </c>
      <c r="I16" s="35" t="s">
        <v>436</v>
      </c>
      <c r="J16" s="36" t="s">
        <v>438</v>
      </c>
      <c r="K16" s="35" t="s">
        <v>132</v>
      </c>
      <c r="L16" s="35"/>
      <c r="M16" s="35">
        <v>35</v>
      </c>
      <c r="N16" s="35"/>
      <c r="O16" s="35"/>
      <c r="P16" s="35">
        <v>1</v>
      </c>
      <c r="Q16" s="35">
        <v>1</v>
      </c>
      <c r="R16" s="35"/>
      <c r="S16" s="35" t="s">
        <v>29</v>
      </c>
      <c r="T16" s="35" t="s">
        <v>29</v>
      </c>
    </row>
    <row r="17" spans="1:20" x14ac:dyDescent="0.25">
      <c r="A17" s="37"/>
      <c r="B17" s="37"/>
      <c r="C17" s="37"/>
      <c r="D17" s="37"/>
      <c r="E17" s="37"/>
      <c r="F17" s="37"/>
      <c r="G17" s="37"/>
      <c r="H17" s="37"/>
      <c r="I17" s="37" t="s">
        <v>439</v>
      </c>
      <c r="J17" s="38" t="s">
        <v>440</v>
      </c>
      <c r="K17" s="37" t="s">
        <v>135</v>
      </c>
      <c r="L17" s="37"/>
      <c r="M17" s="37">
        <v>35</v>
      </c>
      <c r="N17" s="37"/>
      <c r="O17" s="37"/>
      <c r="P17" s="37">
        <v>1</v>
      </c>
      <c r="Q17" s="37">
        <v>1</v>
      </c>
      <c r="R17" s="37" t="s">
        <v>91</v>
      </c>
      <c r="S17" s="37" t="s">
        <v>441</v>
      </c>
      <c r="T17" s="37" t="s">
        <v>334</v>
      </c>
    </row>
    <row r="18" spans="1:20" x14ac:dyDescent="0.25">
      <c r="A18" s="35" t="s">
        <v>442</v>
      </c>
      <c r="B18" s="36" t="s">
        <v>443</v>
      </c>
      <c r="C18" s="35" t="s">
        <v>138</v>
      </c>
      <c r="D18" s="35"/>
      <c r="E18" s="35">
        <v>2</v>
      </c>
      <c r="F18" s="35"/>
      <c r="G18" s="35">
        <v>1</v>
      </c>
      <c r="H18" s="35">
        <v>1</v>
      </c>
      <c r="I18" s="35" t="s">
        <v>442</v>
      </c>
      <c r="J18" s="36" t="s">
        <v>444</v>
      </c>
      <c r="K18" s="35" t="s">
        <v>138</v>
      </c>
      <c r="L18" s="35"/>
      <c r="M18" s="35"/>
      <c r="N18" s="35">
        <v>2</v>
      </c>
      <c r="O18" s="35"/>
      <c r="P18" s="35">
        <v>1</v>
      </c>
      <c r="Q18" s="35">
        <v>1</v>
      </c>
      <c r="R18" s="35"/>
      <c r="S18" s="35" t="s">
        <v>29</v>
      </c>
      <c r="T18" s="35" t="s">
        <v>29</v>
      </c>
    </row>
    <row r="19" spans="1:20" x14ac:dyDescent="0.25">
      <c r="A19" s="37"/>
      <c r="B19" s="37"/>
      <c r="C19" s="37"/>
      <c r="D19" s="37"/>
      <c r="E19" s="37"/>
      <c r="F19" s="37"/>
      <c r="G19" s="37"/>
      <c r="H19" s="37"/>
      <c r="I19" s="37" t="s">
        <v>445</v>
      </c>
      <c r="J19" s="38" t="s">
        <v>446</v>
      </c>
      <c r="K19" s="37" t="s">
        <v>141</v>
      </c>
      <c r="L19" s="37"/>
      <c r="M19" s="37">
        <v>70</v>
      </c>
      <c r="N19" s="37"/>
      <c r="O19" s="37"/>
      <c r="P19" s="37">
        <v>0</v>
      </c>
      <c r="Q19" s="37">
        <v>1</v>
      </c>
      <c r="R19" s="37" t="s">
        <v>91</v>
      </c>
      <c r="S19" s="37" t="s">
        <v>118</v>
      </c>
      <c r="T19" s="37" t="s">
        <v>335</v>
      </c>
    </row>
    <row r="20" spans="1:20" x14ac:dyDescent="0.25">
      <c r="A20" s="35" t="s">
        <v>449</v>
      </c>
      <c r="B20" s="36" t="s">
        <v>450</v>
      </c>
      <c r="C20" s="35" t="s">
        <v>188</v>
      </c>
      <c r="D20" s="35"/>
      <c r="E20" s="35">
        <v>10</v>
      </c>
      <c r="F20" s="35"/>
      <c r="G20" s="35">
        <v>1</v>
      </c>
      <c r="H20" s="35">
        <v>1</v>
      </c>
      <c r="I20" s="35" t="s">
        <v>449</v>
      </c>
      <c r="J20" s="36" t="s">
        <v>451</v>
      </c>
      <c r="K20" s="35" t="s">
        <v>188</v>
      </c>
      <c r="L20" s="35"/>
      <c r="M20" s="35"/>
      <c r="N20" s="35">
        <v>10</v>
      </c>
      <c r="O20" s="35"/>
      <c r="P20" s="35">
        <v>1</v>
      </c>
      <c r="Q20" s="35">
        <v>1</v>
      </c>
      <c r="R20" s="35"/>
      <c r="S20" s="35" t="s">
        <v>29</v>
      </c>
      <c r="T20" s="35" t="s">
        <v>29</v>
      </c>
    </row>
    <row r="21" spans="1:20" x14ac:dyDescent="0.25">
      <c r="A21" s="35" t="s">
        <v>452</v>
      </c>
      <c r="B21" s="36" t="s">
        <v>429</v>
      </c>
      <c r="C21" s="35" t="s">
        <v>193</v>
      </c>
      <c r="D21" s="35">
        <v>35</v>
      </c>
      <c r="E21" s="35"/>
      <c r="F21" s="35"/>
      <c r="G21" s="35">
        <v>1</v>
      </c>
      <c r="H21" s="35">
        <v>1</v>
      </c>
      <c r="I21" s="35" t="s">
        <v>452</v>
      </c>
      <c r="J21" s="36" t="s">
        <v>453</v>
      </c>
      <c r="K21" s="35" t="s">
        <v>193</v>
      </c>
      <c r="L21" s="35"/>
      <c r="M21" s="35">
        <v>35</v>
      </c>
      <c r="N21" s="35"/>
      <c r="O21" s="35"/>
      <c r="P21" s="35">
        <v>1</v>
      </c>
      <c r="Q21" s="35">
        <v>1</v>
      </c>
      <c r="R21" s="35"/>
      <c r="S21" s="35" t="s">
        <v>29</v>
      </c>
      <c r="T21" s="35" t="s">
        <v>29</v>
      </c>
    </row>
    <row r="22" spans="1:20" x14ac:dyDescent="0.25">
      <c r="A22" s="35" t="s">
        <v>454</v>
      </c>
      <c r="B22" s="36" t="s">
        <v>432</v>
      </c>
      <c r="C22" s="35" t="s">
        <v>198</v>
      </c>
      <c r="D22" s="35"/>
      <c r="E22" s="35">
        <v>2</v>
      </c>
      <c r="F22" s="35"/>
      <c r="G22" s="35">
        <v>1</v>
      </c>
      <c r="H22" s="35">
        <v>1</v>
      </c>
      <c r="I22" s="35" t="s">
        <v>454</v>
      </c>
      <c r="J22" s="36" t="s">
        <v>455</v>
      </c>
      <c r="K22" s="35" t="s">
        <v>198</v>
      </c>
      <c r="L22" s="35"/>
      <c r="M22" s="35"/>
      <c r="N22" s="35">
        <v>2</v>
      </c>
      <c r="O22" s="35"/>
      <c r="P22" s="35">
        <v>1</v>
      </c>
      <c r="Q22" s="35">
        <v>1</v>
      </c>
      <c r="R22" s="35"/>
      <c r="S22" s="35" t="s">
        <v>29</v>
      </c>
      <c r="T22" s="35" t="s">
        <v>29</v>
      </c>
    </row>
    <row r="23" spans="1:20" x14ac:dyDescent="0.25">
      <c r="A23" s="41" t="s">
        <v>456</v>
      </c>
      <c r="B23" s="42" t="s">
        <v>457</v>
      </c>
      <c r="C23" s="41" t="s">
        <v>148</v>
      </c>
      <c r="D23" s="41">
        <v>17</v>
      </c>
      <c r="E23" s="41"/>
      <c r="F23" s="41"/>
      <c r="G23" s="41">
        <v>1</v>
      </c>
      <c r="H23" s="41">
        <v>1</v>
      </c>
      <c r="I23" s="41" t="s">
        <v>456</v>
      </c>
      <c r="J23" s="42" t="s">
        <v>458</v>
      </c>
      <c r="K23" s="41" t="s">
        <v>148</v>
      </c>
      <c r="L23" s="41"/>
      <c r="M23" s="41">
        <v>34</v>
      </c>
      <c r="N23" s="41"/>
      <c r="O23" s="41"/>
      <c r="P23" s="41">
        <v>1</v>
      </c>
      <c r="Q23" s="41">
        <v>1</v>
      </c>
      <c r="R23" s="41"/>
      <c r="S23" s="41" t="s">
        <v>29</v>
      </c>
      <c r="T23" s="41" t="s">
        <v>337</v>
      </c>
    </row>
    <row r="24" spans="1:20" x14ac:dyDescent="0.25">
      <c r="A24" s="43"/>
      <c r="B24" s="43"/>
      <c r="C24" s="43"/>
      <c r="D24" s="43"/>
      <c r="E24" s="43"/>
      <c r="F24" s="43"/>
      <c r="G24" s="43"/>
      <c r="H24" s="43"/>
      <c r="I24" s="43" t="s">
        <v>460</v>
      </c>
      <c r="J24" s="44" t="s">
        <v>461</v>
      </c>
      <c r="K24" s="43" t="s">
        <v>148</v>
      </c>
      <c r="L24" s="43"/>
      <c r="M24" s="45">
        <v>256</v>
      </c>
      <c r="N24" s="43"/>
      <c r="O24" s="43"/>
      <c r="P24" s="43">
        <v>1</v>
      </c>
      <c r="Q24" s="43">
        <v>1</v>
      </c>
      <c r="R24" s="43" t="s">
        <v>91</v>
      </c>
      <c r="S24" s="43" t="s">
        <v>118</v>
      </c>
      <c r="T24" s="43" t="s">
        <v>336</v>
      </c>
    </row>
    <row r="25" spans="1:20" x14ac:dyDescent="0.25">
      <c r="A25" s="35" t="s">
        <v>462</v>
      </c>
      <c r="B25" s="36" t="s">
        <v>463</v>
      </c>
      <c r="C25" s="35" t="s">
        <v>106</v>
      </c>
      <c r="D25" s="35">
        <v>9</v>
      </c>
      <c r="E25" s="35"/>
      <c r="F25" s="35"/>
      <c r="G25" s="35">
        <v>1</v>
      </c>
      <c r="H25" s="35">
        <v>1</v>
      </c>
      <c r="I25" s="35" t="s">
        <v>462</v>
      </c>
      <c r="J25" s="36" t="s">
        <v>464</v>
      </c>
      <c r="K25" s="35" t="s">
        <v>106</v>
      </c>
      <c r="L25" s="35"/>
      <c r="M25" s="35">
        <v>9</v>
      </c>
      <c r="N25" s="35"/>
      <c r="O25" s="35"/>
      <c r="P25" s="35">
        <v>1</v>
      </c>
      <c r="Q25" s="35">
        <v>1</v>
      </c>
      <c r="R25" s="35"/>
      <c r="S25" s="35" t="s">
        <v>29</v>
      </c>
      <c r="T25" s="35" t="s">
        <v>29</v>
      </c>
    </row>
    <row r="26" spans="1:20" x14ac:dyDescent="0.25">
      <c r="A26" s="43"/>
      <c r="B26" s="43"/>
      <c r="C26" s="43"/>
      <c r="D26" s="43"/>
      <c r="E26" s="43"/>
      <c r="F26" s="43"/>
      <c r="G26" s="43"/>
      <c r="H26" s="43"/>
      <c r="I26" s="43" t="s">
        <v>466</v>
      </c>
      <c r="J26" s="44" t="s">
        <v>467</v>
      </c>
      <c r="K26" s="43" t="s">
        <v>117</v>
      </c>
      <c r="L26" s="43"/>
      <c r="M26" s="43">
        <v>140</v>
      </c>
      <c r="N26" s="43"/>
      <c r="O26" s="43"/>
      <c r="P26" s="43">
        <v>1</v>
      </c>
      <c r="Q26" s="43">
        <v>1</v>
      </c>
      <c r="R26" s="43" t="s">
        <v>91</v>
      </c>
      <c r="S26" s="43" t="s">
        <v>118</v>
      </c>
      <c r="T26" s="43" t="s">
        <v>336</v>
      </c>
    </row>
    <row r="27" spans="1:20" x14ac:dyDescent="0.25">
      <c r="A27" s="43"/>
      <c r="B27" s="43"/>
      <c r="C27" s="43"/>
      <c r="D27" s="43"/>
      <c r="E27" s="43"/>
      <c r="F27" s="43"/>
      <c r="G27" s="43"/>
      <c r="H27" s="43"/>
      <c r="I27" s="43" t="s">
        <v>468</v>
      </c>
      <c r="J27" s="44" t="s">
        <v>469</v>
      </c>
      <c r="K27" s="43" t="s">
        <v>122</v>
      </c>
      <c r="L27" s="43"/>
      <c r="M27" s="43">
        <v>70</v>
      </c>
      <c r="N27" s="43"/>
      <c r="O27" s="43"/>
      <c r="P27" s="43">
        <v>1</v>
      </c>
      <c r="Q27" s="43">
        <v>1</v>
      </c>
      <c r="R27" s="43" t="s">
        <v>91</v>
      </c>
      <c r="S27" s="43" t="str">
        <f>IF(R27="NEW ELEMENT","N/A", check)</f>
        <v>N/A</v>
      </c>
      <c r="T27" s="43" t="s">
        <v>336</v>
      </c>
    </row>
    <row r="28" spans="1:20" x14ac:dyDescent="0.25">
      <c r="A28" s="43"/>
      <c r="B28" s="43"/>
      <c r="C28" s="43"/>
      <c r="D28" s="43"/>
      <c r="E28" s="43"/>
      <c r="F28" s="43"/>
      <c r="G28" s="43"/>
      <c r="H28" s="43"/>
      <c r="I28" s="43" t="s">
        <v>470</v>
      </c>
      <c r="J28" s="44" t="s">
        <v>471</v>
      </c>
      <c r="K28" s="43" t="s">
        <v>126</v>
      </c>
      <c r="L28" s="43"/>
      <c r="M28" s="43">
        <v>16</v>
      </c>
      <c r="N28" s="43"/>
      <c r="O28" s="43"/>
      <c r="P28" s="43">
        <v>0</v>
      </c>
      <c r="Q28" s="43">
        <v>1</v>
      </c>
      <c r="R28" s="43" t="s">
        <v>91</v>
      </c>
      <c r="S28" s="43" t="str">
        <f>IF(R28="NEW ELEMENT","N/A", check)</f>
        <v>N/A</v>
      </c>
      <c r="T28" s="43" t="s">
        <v>336</v>
      </c>
    </row>
    <row r="29" spans="1:20" x14ac:dyDescent="0.25">
      <c r="A29" s="43"/>
      <c r="B29" s="43"/>
      <c r="C29" s="43"/>
      <c r="D29" s="43"/>
      <c r="E29" s="43"/>
      <c r="F29" s="43"/>
      <c r="G29" s="43"/>
      <c r="H29" s="43"/>
      <c r="I29" s="43" t="s">
        <v>472</v>
      </c>
      <c r="J29" s="44" t="s">
        <v>473</v>
      </c>
      <c r="K29" s="43" t="s">
        <v>129</v>
      </c>
      <c r="L29" s="43"/>
      <c r="M29" s="43">
        <v>16</v>
      </c>
      <c r="N29" s="43"/>
      <c r="O29" s="43"/>
      <c r="P29" s="43">
        <v>1</v>
      </c>
      <c r="Q29" s="43">
        <v>1</v>
      </c>
      <c r="R29" s="43" t="s">
        <v>91</v>
      </c>
      <c r="S29" s="43" t="str">
        <f>IF(R29="NEW ELEMENT","N/A", check)</f>
        <v>N/A</v>
      </c>
      <c r="T29" s="43" t="s">
        <v>336</v>
      </c>
    </row>
    <row r="30" spans="1:20" x14ac:dyDescent="0.25">
      <c r="A30" s="43"/>
      <c r="B30" s="43"/>
      <c r="C30" s="43"/>
      <c r="D30" s="43"/>
      <c r="E30" s="43"/>
      <c r="F30" s="43"/>
      <c r="G30" s="43"/>
      <c r="H30" s="43"/>
      <c r="I30" s="43" t="s">
        <v>474</v>
      </c>
      <c r="J30" s="44" t="s">
        <v>475</v>
      </c>
      <c r="K30" s="43" t="s">
        <v>132</v>
      </c>
      <c r="L30" s="43"/>
      <c r="M30" s="43">
        <v>35</v>
      </c>
      <c r="N30" s="43"/>
      <c r="O30" s="43"/>
      <c r="P30" s="43">
        <v>1</v>
      </c>
      <c r="Q30" s="43">
        <v>1</v>
      </c>
      <c r="R30" s="43" t="s">
        <v>91</v>
      </c>
      <c r="S30" s="43" t="str">
        <f>IF(R30="NEW ELEMENT","N/A", check)</f>
        <v>N/A</v>
      </c>
      <c r="T30" s="43" t="s">
        <v>336</v>
      </c>
    </row>
    <row r="31" spans="1:20" x14ac:dyDescent="0.25">
      <c r="A31" s="43"/>
      <c r="B31" s="43"/>
      <c r="C31" s="43"/>
      <c r="D31" s="43"/>
      <c r="E31" s="43"/>
      <c r="F31" s="43"/>
      <c r="G31" s="43"/>
      <c r="H31" s="43"/>
      <c r="I31" s="43" t="s">
        <v>476</v>
      </c>
      <c r="J31" s="44" t="s">
        <v>477</v>
      </c>
      <c r="K31" s="43" t="s">
        <v>135</v>
      </c>
      <c r="L31" s="43"/>
      <c r="M31" s="43">
        <v>35</v>
      </c>
      <c r="N31" s="43"/>
      <c r="O31" s="43"/>
      <c r="P31" s="43">
        <v>1</v>
      </c>
      <c r="Q31" s="43">
        <v>1</v>
      </c>
      <c r="R31" s="43" t="s">
        <v>91</v>
      </c>
      <c r="S31" s="43" t="str">
        <f>IF(R31="NEW ELEMENT","N/A", check)</f>
        <v>N/A</v>
      </c>
      <c r="T31" s="43" t="s">
        <v>336</v>
      </c>
    </row>
    <row r="32" spans="1:20" x14ac:dyDescent="0.25">
      <c r="A32" s="43"/>
      <c r="B32" s="43"/>
      <c r="C32" s="43"/>
      <c r="D32" s="43"/>
      <c r="E32" s="43"/>
      <c r="F32" s="43"/>
      <c r="G32" s="43"/>
      <c r="H32" s="43"/>
      <c r="I32" s="43" t="s">
        <v>478</v>
      </c>
      <c r="J32" s="44" t="s">
        <v>479</v>
      </c>
      <c r="K32" s="43" t="s">
        <v>138</v>
      </c>
      <c r="L32" s="43"/>
      <c r="M32" s="43"/>
      <c r="N32" s="43">
        <v>2</v>
      </c>
      <c r="O32" s="43"/>
      <c r="P32" s="43">
        <v>1</v>
      </c>
      <c r="Q32" s="43">
        <v>1</v>
      </c>
      <c r="R32" s="43" t="s">
        <v>91</v>
      </c>
      <c r="S32" s="43" t="str">
        <f>IF(R32="NEW ELEMENT","N/A", check)</f>
        <v>N/A</v>
      </c>
      <c r="T32" s="43" t="s">
        <v>336</v>
      </c>
    </row>
    <row r="33" spans="1:20" x14ac:dyDescent="0.25">
      <c r="A33" s="43"/>
      <c r="B33" s="43"/>
      <c r="C33" s="43"/>
      <c r="D33" s="43"/>
      <c r="E33" s="43"/>
      <c r="F33" s="43"/>
      <c r="G33" s="43"/>
      <c r="H33" s="43"/>
      <c r="I33" s="43" t="s">
        <v>480</v>
      </c>
      <c r="J33" s="44" t="s">
        <v>481</v>
      </c>
      <c r="K33" s="43" t="s">
        <v>141</v>
      </c>
      <c r="L33" s="43"/>
      <c r="M33" s="43">
        <v>70</v>
      </c>
      <c r="N33" s="43"/>
      <c r="O33" s="43"/>
      <c r="P33" s="43">
        <v>0</v>
      </c>
      <c r="Q33" s="43">
        <v>1</v>
      </c>
      <c r="R33" s="43" t="s">
        <v>91</v>
      </c>
      <c r="S33" s="43" t="str">
        <f>IF(R33="NEW ELEMENT","N/A", check)</f>
        <v>N/A</v>
      </c>
      <c r="T33" s="43" t="s">
        <v>336</v>
      </c>
    </row>
    <row r="34" spans="1:20" x14ac:dyDescent="0.25">
      <c r="A34" s="43"/>
      <c r="B34" s="43"/>
      <c r="C34" s="43"/>
      <c r="D34" s="43"/>
      <c r="E34" s="43"/>
      <c r="F34" s="43"/>
      <c r="G34" s="43"/>
      <c r="H34" s="43"/>
      <c r="I34" s="43" t="s">
        <v>482</v>
      </c>
      <c r="J34" s="44" t="s">
        <v>483</v>
      </c>
      <c r="K34" s="43" t="s">
        <v>144</v>
      </c>
      <c r="L34" s="43"/>
      <c r="M34" s="43"/>
      <c r="N34" s="43"/>
      <c r="O34" s="43"/>
      <c r="P34" s="43">
        <v>1</v>
      </c>
      <c r="Q34" s="43">
        <v>1</v>
      </c>
      <c r="R34" s="43" t="s">
        <v>91</v>
      </c>
      <c r="S34" s="43" t="str">
        <f>IF(R34="NEW ELEMENT","N/A", check)</f>
        <v>N/A</v>
      </c>
      <c r="T34" s="43" t="s">
        <v>336</v>
      </c>
    </row>
    <row r="35" spans="1:20" x14ac:dyDescent="0.25">
      <c r="A35" s="43"/>
      <c r="B35" s="43"/>
      <c r="C35" s="43"/>
      <c r="D35" s="43"/>
      <c r="E35" s="43"/>
      <c r="F35" s="43"/>
      <c r="G35" s="43"/>
      <c r="H35" s="43"/>
      <c r="I35" s="43" t="s">
        <v>484</v>
      </c>
      <c r="J35" s="44" t="s">
        <v>485</v>
      </c>
      <c r="K35" s="43" t="s">
        <v>148</v>
      </c>
      <c r="L35" s="43"/>
      <c r="M35" s="43">
        <v>35</v>
      </c>
      <c r="N35" s="43"/>
      <c r="O35" s="43"/>
      <c r="P35" s="43">
        <v>1</v>
      </c>
      <c r="Q35" s="43">
        <v>1</v>
      </c>
      <c r="R35" s="43" t="s">
        <v>91</v>
      </c>
      <c r="S35" s="43" t="str">
        <f>IF(R35="NEW ELEMENT","N/A", check)</f>
        <v>N/A</v>
      </c>
      <c r="T35" s="43" t="s">
        <v>336</v>
      </c>
    </row>
    <row r="36" spans="1:20" x14ac:dyDescent="0.25">
      <c r="A36" s="35" t="s">
        <v>486</v>
      </c>
      <c r="B36" s="36" t="s">
        <v>487</v>
      </c>
      <c r="C36" s="35" t="s">
        <v>64</v>
      </c>
      <c r="D36" s="35">
        <v>35</v>
      </c>
      <c r="E36" s="35"/>
      <c r="F36" s="35"/>
      <c r="G36" s="35">
        <v>0</v>
      </c>
      <c r="H36" s="35">
        <v>1</v>
      </c>
      <c r="I36" s="35" t="s">
        <v>486</v>
      </c>
      <c r="J36" s="36" t="s">
        <v>488</v>
      </c>
      <c r="K36" s="35" t="s">
        <v>64</v>
      </c>
      <c r="L36" s="35"/>
      <c r="M36" s="35">
        <v>35</v>
      </c>
      <c r="N36" s="35"/>
      <c r="O36" s="35"/>
      <c r="P36" s="35">
        <v>0</v>
      </c>
      <c r="Q36" s="35">
        <v>1</v>
      </c>
      <c r="R36" s="35"/>
      <c r="S36" s="35" t="s">
        <v>29</v>
      </c>
      <c r="T36" s="35" t="s">
        <v>29</v>
      </c>
    </row>
    <row r="37" spans="1:20" x14ac:dyDescent="0.25">
      <c r="A37" s="35" t="s">
        <v>489</v>
      </c>
      <c r="B37" s="36" t="s">
        <v>490</v>
      </c>
      <c r="C37" s="35" t="s">
        <v>68</v>
      </c>
      <c r="D37" s="35">
        <v>35</v>
      </c>
      <c r="E37" s="35"/>
      <c r="F37" s="35"/>
      <c r="G37" s="35">
        <v>1</v>
      </c>
      <c r="H37" s="35">
        <v>1</v>
      </c>
      <c r="I37" s="35" t="s">
        <v>489</v>
      </c>
      <c r="J37" s="36" t="s">
        <v>491</v>
      </c>
      <c r="K37" s="35" t="s">
        <v>68</v>
      </c>
      <c r="L37" s="35"/>
      <c r="M37" s="35">
        <v>35</v>
      </c>
      <c r="N37" s="35"/>
      <c r="O37" s="35"/>
      <c r="P37" s="35">
        <v>1</v>
      </c>
      <c r="Q37" s="35">
        <v>1</v>
      </c>
      <c r="R37" s="35"/>
      <c r="S37" s="35" t="s">
        <v>29</v>
      </c>
      <c r="T37" s="35" t="s">
        <v>29</v>
      </c>
    </row>
    <row r="38" spans="1:20" x14ac:dyDescent="0.25">
      <c r="A38" s="35" t="s">
        <v>492</v>
      </c>
      <c r="B38" s="36" t="s">
        <v>493</v>
      </c>
      <c r="C38" s="35" t="s">
        <v>40</v>
      </c>
      <c r="D38" s="35">
        <v>4</v>
      </c>
      <c r="E38" s="35"/>
      <c r="F38" s="35"/>
      <c r="G38" s="35">
        <v>1</v>
      </c>
      <c r="H38" s="35">
        <v>1</v>
      </c>
      <c r="I38" s="35" t="s">
        <v>492</v>
      </c>
      <c r="J38" s="36" t="s">
        <v>494</v>
      </c>
      <c r="K38" s="35" t="s">
        <v>40</v>
      </c>
      <c r="L38" s="35"/>
      <c r="M38" s="35">
        <v>4</v>
      </c>
      <c r="N38" s="35"/>
      <c r="O38" s="35"/>
      <c r="P38" s="35">
        <v>1</v>
      </c>
      <c r="Q38" s="35">
        <v>1</v>
      </c>
      <c r="R38" s="35"/>
      <c r="S38" s="35" t="s">
        <v>29</v>
      </c>
      <c r="T38" s="35" t="s">
        <v>29</v>
      </c>
    </row>
    <row r="39" spans="1:20" x14ac:dyDescent="0.25">
      <c r="A39" s="35" t="s">
        <v>495</v>
      </c>
      <c r="B39" s="36" t="s">
        <v>496</v>
      </c>
      <c r="C39" s="35" t="s">
        <v>85</v>
      </c>
      <c r="D39" s="35">
        <v>35</v>
      </c>
      <c r="E39" s="35"/>
      <c r="F39" s="35"/>
      <c r="G39" s="35">
        <v>1</v>
      </c>
      <c r="H39" s="35">
        <v>1</v>
      </c>
      <c r="I39" s="35" t="s">
        <v>495</v>
      </c>
      <c r="J39" s="36" t="s">
        <v>497</v>
      </c>
      <c r="K39" s="35" t="s">
        <v>85</v>
      </c>
      <c r="L39" s="35"/>
      <c r="M39" s="35">
        <v>35</v>
      </c>
      <c r="N39" s="35"/>
      <c r="O39" s="35"/>
      <c r="P39" s="35">
        <v>1</v>
      </c>
      <c r="Q39" s="35">
        <v>1</v>
      </c>
      <c r="R39" s="35"/>
      <c r="S39" s="35" t="s">
        <v>595</v>
      </c>
      <c r="T39" s="35" t="s">
        <v>595</v>
      </c>
    </row>
    <row r="40" spans="1:20" x14ac:dyDescent="0.25">
      <c r="A40" s="46"/>
      <c r="B40" s="46"/>
      <c r="C40" s="46"/>
      <c r="D40" s="46"/>
      <c r="E40" s="46"/>
      <c r="F40" s="46"/>
      <c r="G40" s="46"/>
      <c r="H40" s="46"/>
      <c r="I40" s="46" t="s">
        <v>500</v>
      </c>
      <c r="J40" s="47" t="s">
        <v>501</v>
      </c>
      <c r="K40" s="46" t="s">
        <v>85</v>
      </c>
      <c r="L40" s="46"/>
      <c r="M40" s="46">
        <v>35</v>
      </c>
      <c r="N40" s="46"/>
      <c r="O40" s="46"/>
      <c r="P40" s="46">
        <v>1</v>
      </c>
      <c r="Q40" s="46">
        <v>1</v>
      </c>
      <c r="R40" s="46" t="s">
        <v>91</v>
      </c>
      <c r="S40" s="46" t="s">
        <v>596</v>
      </c>
      <c r="T40" s="46" t="s">
        <v>151</v>
      </c>
    </row>
    <row r="41" spans="1:20" x14ac:dyDescent="0.25">
      <c r="A41" s="39"/>
      <c r="B41" s="39"/>
      <c r="C41" s="39"/>
      <c r="D41" s="39"/>
      <c r="E41" s="39"/>
      <c r="F41" s="39"/>
      <c r="G41" s="39"/>
      <c r="H41" s="39"/>
      <c r="I41" s="39" t="s">
        <v>502</v>
      </c>
      <c r="J41" s="40" t="s">
        <v>503</v>
      </c>
      <c r="K41" s="39" t="s">
        <v>504</v>
      </c>
      <c r="L41" s="39"/>
      <c r="M41" s="39"/>
      <c r="N41" s="39"/>
      <c r="O41" s="39"/>
      <c r="P41" s="39">
        <v>1</v>
      </c>
      <c r="Q41" s="39">
        <v>1</v>
      </c>
      <c r="R41" s="39" t="s">
        <v>91</v>
      </c>
      <c r="S41" s="39" t="str">
        <f>IF(R41="NEW ELEMENT","N/A", check)</f>
        <v>N/A</v>
      </c>
      <c r="T41" s="39" t="s">
        <v>151</v>
      </c>
    </row>
    <row r="42" spans="1:20" x14ac:dyDescent="0.25">
      <c r="A42" s="39"/>
      <c r="B42" s="39"/>
      <c r="C42" s="39"/>
      <c r="D42" s="39"/>
      <c r="E42" s="39"/>
      <c r="F42" s="39"/>
      <c r="G42" s="39"/>
      <c r="H42" s="39"/>
      <c r="I42" s="39" t="s">
        <v>505</v>
      </c>
      <c r="J42" s="40" t="s">
        <v>506</v>
      </c>
      <c r="K42" s="39" t="s">
        <v>507</v>
      </c>
      <c r="L42" s="39"/>
      <c r="M42" s="39"/>
      <c r="N42" s="39"/>
      <c r="O42" s="39"/>
      <c r="P42" s="39">
        <v>1</v>
      </c>
      <c r="Q42" s="39">
        <v>1</v>
      </c>
      <c r="R42" s="39" t="s">
        <v>91</v>
      </c>
      <c r="S42" s="39" t="str">
        <f>IF(R42="NEW ELEMENT","N/A", check)</f>
        <v>N/A</v>
      </c>
      <c r="T42" s="39" t="s">
        <v>151</v>
      </c>
    </row>
    <row r="43" spans="1:20" x14ac:dyDescent="0.25">
      <c r="A43" s="39"/>
      <c r="B43" s="39"/>
      <c r="C43" s="39"/>
      <c r="D43" s="39"/>
      <c r="E43" s="39"/>
      <c r="F43" s="39"/>
      <c r="G43" s="39"/>
      <c r="H43" s="39"/>
      <c r="I43" s="39" t="s">
        <v>508</v>
      </c>
      <c r="J43" s="40" t="s">
        <v>509</v>
      </c>
      <c r="K43" s="39" t="s">
        <v>510</v>
      </c>
      <c r="L43" s="39"/>
      <c r="M43" s="39"/>
      <c r="N43" s="39"/>
      <c r="O43" s="39"/>
      <c r="P43" s="39">
        <v>1</v>
      </c>
      <c r="Q43" s="39">
        <v>1</v>
      </c>
      <c r="R43" s="39" t="s">
        <v>91</v>
      </c>
      <c r="S43" s="39" t="str">
        <f>IF(R43="NEW ELEMENT","N/A", check)</f>
        <v>N/A</v>
      </c>
      <c r="T43" s="39" t="s">
        <v>151</v>
      </c>
    </row>
    <row r="44" spans="1:20" x14ac:dyDescent="0.25">
      <c r="A44" s="35" t="s">
        <v>511</v>
      </c>
      <c r="B44" s="36" t="s">
        <v>512</v>
      </c>
      <c r="C44" s="35" t="s">
        <v>513</v>
      </c>
      <c r="D44" s="35"/>
      <c r="E44" s="35"/>
      <c r="F44" s="35">
        <v>18</v>
      </c>
      <c r="G44" s="35">
        <v>1</v>
      </c>
      <c r="H44" s="35">
        <v>1</v>
      </c>
      <c r="I44" s="35" t="s">
        <v>511</v>
      </c>
      <c r="J44" s="36" t="s">
        <v>514</v>
      </c>
      <c r="K44" s="35" t="s">
        <v>513</v>
      </c>
      <c r="L44" s="35"/>
      <c r="M44" s="35"/>
      <c r="N44" s="35"/>
      <c r="O44" s="35">
        <v>18</v>
      </c>
      <c r="P44" s="35">
        <v>1</v>
      </c>
      <c r="Q44" s="35">
        <v>1</v>
      </c>
      <c r="R44" s="35"/>
      <c r="S44" s="35" t="s">
        <v>29</v>
      </c>
      <c r="T44" s="35" t="s">
        <v>29</v>
      </c>
    </row>
    <row r="45" spans="1:20" x14ac:dyDescent="0.25">
      <c r="A45" s="35" t="s">
        <v>515</v>
      </c>
      <c r="B45" s="36" t="s">
        <v>516</v>
      </c>
      <c r="C45" s="35" t="s">
        <v>54</v>
      </c>
      <c r="D45" s="35">
        <v>3</v>
      </c>
      <c r="E45" s="35"/>
      <c r="F45" s="35"/>
      <c r="G45" s="35"/>
      <c r="H45" s="35"/>
      <c r="I45" s="35" t="s">
        <v>515</v>
      </c>
      <c r="J45" s="36" t="s">
        <v>517</v>
      </c>
      <c r="K45" s="35" t="s">
        <v>54</v>
      </c>
      <c r="L45" s="35"/>
      <c r="M45" s="35"/>
      <c r="N45" s="35">
        <v>3</v>
      </c>
      <c r="O45" s="35"/>
      <c r="P45" s="35"/>
      <c r="Q45" s="35"/>
      <c r="R45" s="35"/>
      <c r="S45" s="35" t="s">
        <v>29</v>
      </c>
      <c r="T45" s="35" t="s">
        <v>29</v>
      </c>
    </row>
    <row r="46" spans="1:20" x14ac:dyDescent="0.25">
      <c r="A46" s="35" t="s">
        <v>518</v>
      </c>
      <c r="B46" s="36" t="s">
        <v>519</v>
      </c>
      <c r="C46" s="35" t="s">
        <v>101</v>
      </c>
      <c r="D46" s="35"/>
      <c r="E46" s="35"/>
      <c r="F46" s="35"/>
      <c r="G46" s="35">
        <v>1</v>
      </c>
      <c r="H46" s="35">
        <v>1</v>
      </c>
      <c r="I46" s="35" t="s">
        <v>518</v>
      </c>
      <c r="J46" s="36" t="s">
        <v>520</v>
      </c>
      <c r="K46" s="35" t="s">
        <v>101</v>
      </c>
      <c r="L46" s="35"/>
      <c r="M46" s="35"/>
      <c r="N46" s="35">
        <v>4</v>
      </c>
      <c r="O46" s="35"/>
      <c r="P46" s="35">
        <v>1</v>
      </c>
      <c r="Q46" s="35">
        <v>1</v>
      </c>
      <c r="R46" s="35"/>
      <c r="S46" s="35" t="s">
        <v>29</v>
      </c>
      <c r="T46" s="35" t="s">
        <v>29</v>
      </c>
    </row>
    <row r="47" spans="1:20" x14ac:dyDescent="0.25">
      <c r="A47" s="35" t="s">
        <v>521</v>
      </c>
      <c r="B47" s="36" t="s">
        <v>522</v>
      </c>
      <c r="C47" s="35" t="s">
        <v>106</v>
      </c>
      <c r="D47" s="35">
        <v>9</v>
      </c>
      <c r="E47" s="35"/>
      <c r="F47" s="35"/>
      <c r="G47" s="35">
        <v>1</v>
      </c>
      <c r="H47" s="35">
        <v>1</v>
      </c>
      <c r="I47" s="35" t="s">
        <v>521</v>
      </c>
      <c r="J47" s="36" t="s">
        <v>523</v>
      </c>
      <c r="K47" s="35" t="s">
        <v>106</v>
      </c>
      <c r="L47" s="35"/>
      <c r="M47" s="35">
        <v>9</v>
      </c>
      <c r="N47" s="35"/>
      <c r="O47" s="35"/>
      <c r="P47" s="35">
        <v>1</v>
      </c>
      <c r="Q47" s="35">
        <v>1</v>
      </c>
      <c r="R47" s="35"/>
      <c r="S47" s="35" t="s">
        <v>29</v>
      </c>
      <c r="T47" s="35" t="s">
        <v>29</v>
      </c>
    </row>
    <row r="48" spans="1:20" x14ac:dyDescent="0.25">
      <c r="A48" s="35" t="s">
        <v>524</v>
      </c>
      <c r="B48" s="36" t="s">
        <v>525</v>
      </c>
      <c r="C48" s="35" t="s">
        <v>117</v>
      </c>
      <c r="D48" s="35">
        <v>140</v>
      </c>
      <c r="E48" s="35"/>
      <c r="F48" s="35"/>
      <c r="G48" s="35">
        <v>1</v>
      </c>
      <c r="H48" s="35">
        <v>1</v>
      </c>
      <c r="I48" s="35" t="s">
        <v>524</v>
      </c>
      <c r="J48" s="36" t="s">
        <v>248</v>
      </c>
      <c r="K48" s="35" t="s">
        <v>117</v>
      </c>
      <c r="L48" s="35"/>
      <c r="M48" s="35">
        <v>140</v>
      </c>
      <c r="N48" s="35"/>
      <c r="O48" s="35"/>
      <c r="P48" s="35">
        <v>1</v>
      </c>
      <c r="Q48" s="35">
        <v>1</v>
      </c>
      <c r="R48" s="35"/>
      <c r="S48" s="35" t="s">
        <v>29</v>
      </c>
      <c r="T48" s="35" t="s">
        <v>29</v>
      </c>
    </row>
    <row r="49" spans="1:20" x14ac:dyDescent="0.25">
      <c r="A49" s="35" t="s">
        <v>526</v>
      </c>
      <c r="B49" s="36" t="s">
        <v>527</v>
      </c>
      <c r="C49" s="35" t="s">
        <v>122</v>
      </c>
      <c r="D49" s="35">
        <v>70</v>
      </c>
      <c r="E49" s="35"/>
      <c r="F49" s="35"/>
      <c r="G49" s="35">
        <v>1</v>
      </c>
      <c r="H49" s="35">
        <v>1</v>
      </c>
      <c r="I49" s="35" t="s">
        <v>526</v>
      </c>
      <c r="J49" s="36" t="s">
        <v>528</v>
      </c>
      <c r="K49" s="35" t="s">
        <v>122</v>
      </c>
      <c r="L49" s="35"/>
      <c r="M49" s="35">
        <v>70</v>
      </c>
      <c r="N49" s="35"/>
      <c r="O49" s="35"/>
      <c r="P49" s="35">
        <v>1</v>
      </c>
      <c r="Q49" s="35">
        <v>1</v>
      </c>
      <c r="R49" s="35"/>
      <c r="S49" s="35" t="s">
        <v>29</v>
      </c>
      <c r="T49" s="35" t="s">
        <v>29</v>
      </c>
    </row>
    <row r="50" spans="1:20" x14ac:dyDescent="0.25">
      <c r="A50" s="35" t="s">
        <v>529</v>
      </c>
      <c r="B50" s="36" t="s">
        <v>530</v>
      </c>
      <c r="C50" s="35" t="s">
        <v>126</v>
      </c>
      <c r="D50" s="35">
        <v>16</v>
      </c>
      <c r="E50" s="35"/>
      <c r="F50" s="35"/>
      <c r="G50" s="35">
        <v>0</v>
      </c>
      <c r="H50" s="35">
        <v>1</v>
      </c>
      <c r="I50" s="35" t="s">
        <v>529</v>
      </c>
      <c r="J50" s="36" t="s">
        <v>531</v>
      </c>
      <c r="K50" s="35" t="s">
        <v>126</v>
      </c>
      <c r="L50" s="35"/>
      <c r="M50" s="35">
        <v>16</v>
      </c>
      <c r="N50" s="35"/>
      <c r="O50" s="35"/>
      <c r="P50" s="35">
        <v>0</v>
      </c>
      <c r="Q50" s="35">
        <v>1</v>
      </c>
      <c r="R50" s="35"/>
      <c r="S50" s="35" t="s">
        <v>29</v>
      </c>
      <c r="T50" s="35" t="s">
        <v>29</v>
      </c>
    </row>
    <row r="51" spans="1:20" x14ac:dyDescent="0.25">
      <c r="A51" s="35" t="s">
        <v>532</v>
      </c>
      <c r="B51" s="36" t="s">
        <v>533</v>
      </c>
      <c r="C51" s="35" t="s">
        <v>129</v>
      </c>
      <c r="D51" s="35">
        <v>16</v>
      </c>
      <c r="E51" s="35"/>
      <c r="F51" s="35"/>
      <c r="G51" s="35">
        <v>1</v>
      </c>
      <c r="H51" s="35">
        <v>1</v>
      </c>
      <c r="I51" s="35" t="s">
        <v>532</v>
      </c>
      <c r="J51" s="36" t="s">
        <v>534</v>
      </c>
      <c r="K51" s="35" t="s">
        <v>129</v>
      </c>
      <c r="L51" s="35"/>
      <c r="M51" s="35">
        <v>16</v>
      </c>
      <c r="N51" s="35"/>
      <c r="O51" s="35"/>
      <c r="P51" s="35">
        <v>1</v>
      </c>
      <c r="Q51" s="35">
        <v>1</v>
      </c>
      <c r="R51" s="35"/>
      <c r="S51" s="35" t="s">
        <v>29</v>
      </c>
      <c r="T51" s="35" t="s">
        <v>29</v>
      </c>
    </row>
    <row r="52" spans="1:20" x14ac:dyDescent="0.25">
      <c r="A52" s="35" t="s">
        <v>535</v>
      </c>
      <c r="B52" s="36" t="s">
        <v>536</v>
      </c>
      <c r="C52" s="35" t="s">
        <v>132</v>
      </c>
      <c r="D52" s="35">
        <v>35</v>
      </c>
      <c r="E52" s="35"/>
      <c r="F52" s="35"/>
      <c r="G52" s="35">
        <v>1</v>
      </c>
      <c r="H52" s="35">
        <v>1</v>
      </c>
      <c r="I52" s="35" t="s">
        <v>535</v>
      </c>
      <c r="J52" s="36" t="s">
        <v>537</v>
      </c>
      <c r="K52" s="35" t="s">
        <v>132</v>
      </c>
      <c r="L52" s="35"/>
      <c r="M52" s="35">
        <v>35</v>
      </c>
      <c r="N52" s="35"/>
      <c r="O52" s="35"/>
      <c r="P52" s="35">
        <v>1</v>
      </c>
      <c r="Q52" s="35">
        <v>1</v>
      </c>
      <c r="R52" s="35"/>
      <c r="S52" s="35" t="s">
        <v>29</v>
      </c>
      <c r="T52" s="35" t="s">
        <v>29</v>
      </c>
    </row>
    <row r="53" spans="1:20" x14ac:dyDescent="0.25">
      <c r="A53" s="37"/>
      <c r="B53" s="37"/>
      <c r="C53" s="37"/>
      <c r="D53" s="37"/>
      <c r="E53" s="37"/>
      <c r="F53" s="37"/>
      <c r="G53" s="37"/>
      <c r="H53" s="37"/>
      <c r="I53" s="37" t="s">
        <v>538</v>
      </c>
      <c r="J53" s="38" t="s">
        <v>539</v>
      </c>
      <c r="K53" s="37" t="s">
        <v>135</v>
      </c>
      <c r="L53" s="37"/>
      <c r="M53" s="37">
        <v>35</v>
      </c>
      <c r="N53" s="37"/>
      <c r="O53" s="37"/>
      <c r="P53" s="37">
        <v>1</v>
      </c>
      <c r="Q53" s="37">
        <v>1</v>
      </c>
      <c r="R53" s="37" t="s">
        <v>91</v>
      </c>
      <c r="S53" s="37" t="s">
        <v>441</v>
      </c>
      <c r="T53" s="37" t="s">
        <v>597</v>
      </c>
    </row>
    <row r="54" spans="1:20" x14ac:dyDescent="0.25">
      <c r="A54" s="35" t="s">
        <v>540</v>
      </c>
      <c r="B54" s="36" t="s">
        <v>541</v>
      </c>
      <c r="C54" s="35" t="s">
        <v>138</v>
      </c>
      <c r="D54" s="35"/>
      <c r="E54" s="35">
        <v>2</v>
      </c>
      <c r="F54" s="35"/>
      <c r="G54" s="35">
        <v>1</v>
      </c>
      <c r="H54" s="35">
        <v>1</v>
      </c>
      <c r="I54" s="35" t="s">
        <v>540</v>
      </c>
      <c r="J54" s="36" t="s">
        <v>542</v>
      </c>
      <c r="K54" s="35" t="s">
        <v>138</v>
      </c>
      <c r="L54" s="35"/>
      <c r="M54" s="35"/>
      <c r="N54" s="35">
        <v>2</v>
      </c>
      <c r="O54" s="35"/>
      <c r="P54" s="35">
        <v>1</v>
      </c>
      <c r="Q54" s="35">
        <v>1</v>
      </c>
      <c r="R54" s="35"/>
      <c r="S54" s="35" t="s">
        <v>29</v>
      </c>
      <c r="T54" s="35" t="s">
        <v>29</v>
      </c>
    </row>
    <row r="55" spans="1:20" x14ac:dyDescent="0.25">
      <c r="A55" s="37"/>
      <c r="B55" s="37"/>
      <c r="C55" s="37"/>
      <c r="D55" s="37"/>
      <c r="E55" s="37"/>
      <c r="F55" s="37"/>
      <c r="G55" s="37"/>
      <c r="H55" s="37"/>
      <c r="I55" s="37" t="s">
        <v>543</v>
      </c>
      <c r="J55" s="38" t="s">
        <v>544</v>
      </c>
      <c r="K55" s="37" t="s">
        <v>141</v>
      </c>
      <c r="L55" s="37"/>
      <c r="M55" s="37">
        <v>70</v>
      </c>
      <c r="N55" s="37"/>
      <c r="O55" s="37"/>
      <c r="P55" s="37">
        <v>0</v>
      </c>
      <c r="Q55" s="37">
        <v>1</v>
      </c>
      <c r="R55" s="37" t="s">
        <v>91</v>
      </c>
      <c r="S55" s="37" t="str">
        <f>IF(R55="NEW ELEMENT","N/A", check)</f>
        <v>N/A</v>
      </c>
      <c r="T55" s="37" t="s">
        <v>598</v>
      </c>
    </row>
    <row r="56" spans="1:20" x14ac:dyDescent="0.25">
      <c r="A56" s="35" t="s">
        <v>547</v>
      </c>
      <c r="B56" s="36" t="s">
        <v>548</v>
      </c>
      <c r="C56" s="35" t="s">
        <v>188</v>
      </c>
      <c r="D56" s="35"/>
      <c r="E56" s="35">
        <v>10</v>
      </c>
      <c r="F56" s="35"/>
      <c r="G56" s="35">
        <v>1</v>
      </c>
      <c r="H56" s="35">
        <v>1</v>
      </c>
      <c r="I56" s="35" t="s">
        <v>547</v>
      </c>
      <c r="J56" s="36" t="s">
        <v>549</v>
      </c>
      <c r="K56" s="35" t="s">
        <v>188</v>
      </c>
      <c r="L56" s="35"/>
      <c r="M56" s="35"/>
      <c r="N56" s="35">
        <v>10</v>
      </c>
      <c r="O56" s="35"/>
      <c r="P56" s="35">
        <v>1</v>
      </c>
      <c r="Q56" s="35">
        <v>1</v>
      </c>
      <c r="R56" s="35"/>
      <c r="S56" s="35" t="s">
        <v>29</v>
      </c>
      <c r="T56" s="35" t="s">
        <v>29</v>
      </c>
    </row>
    <row r="57" spans="1:20" x14ac:dyDescent="0.25">
      <c r="A57" s="35" t="s">
        <v>550</v>
      </c>
      <c r="B57" s="36" t="s">
        <v>551</v>
      </c>
      <c r="C57" s="35" t="s">
        <v>193</v>
      </c>
      <c r="D57" s="35">
        <v>35</v>
      </c>
      <c r="E57" s="35"/>
      <c r="F57" s="35"/>
      <c r="G57" s="35">
        <v>1</v>
      </c>
      <c r="H57" s="35">
        <v>1</v>
      </c>
      <c r="I57" s="35" t="s">
        <v>550</v>
      </c>
      <c r="J57" s="36" t="s">
        <v>552</v>
      </c>
      <c r="K57" s="35" t="s">
        <v>193</v>
      </c>
      <c r="L57" s="35"/>
      <c r="M57" s="35">
        <v>35</v>
      </c>
      <c r="N57" s="35"/>
      <c r="O57" s="35"/>
      <c r="P57" s="35">
        <v>1</v>
      </c>
      <c r="Q57" s="35">
        <v>1</v>
      </c>
      <c r="R57" s="35"/>
      <c r="S57" s="35" t="s">
        <v>29</v>
      </c>
      <c r="T57" s="35" t="s">
        <v>29</v>
      </c>
    </row>
    <row r="58" spans="1:20" x14ac:dyDescent="0.25">
      <c r="A58" s="35" t="s">
        <v>553</v>
      </c>
      <c r="B58" s="36" t="s">
        <v>554</v>
      </c>
      <c r="C58" s="35" t="s">
        <v>198</v>
      </c>
      <c r="D58" s="35"/>
      <c r="E58" s="35">
        <v>2</v>
      </c>
      <c r="F58" s="35"/>
      <c r="G58" s="35">
        <v>1</v>
      </c>
      <c r="H58" s="35">
        <v>1</v>
      </c>
      <c r="I58" s="35" t="s">
        <v>553</v>
      </c>
      <c r="J58" s="36" t="s">
        <v>555</v>
      </c>
      <c r="K58" s="35" t="s">
        <v>198</v>
      </c>
      <c r="L58" s="35"/>
      <c r="M58" s="35"/>
      <c r="N58" s="35">
        <v>2</v>
      </c>
      <c r="O58" s="35"/>
      <c r="P58" s="35">
        <v>1</v>
      </c>
      <c r="Q58" s="35">
        <v>1</v>
      </c>
      <c r="R58" s="35"/>
      <c r="S58" s="35" t="s">
        <v>29</v>
      </c>
      <c r="T58" s="35" t="s">
        <v>29</v>
      </c>
    </row>
    <row r="59" spans="1:20" x14ac:dyDescent="0.25">
      <c r="A59" s="39"/>
      <c r="B59" s="39"/>
      <c r="C59" s="39"/>
      <c r="D59" s="39"/>
      <c r="E59" s="39"/>
      <c r="F59" s="39"/>
      <c r="G59" s="39"/>
      <c r="H59" s="39"/>
      <c r="I59" s="39" t="s">
        <v>556</v>
      </c>
      <c r="J59" s="40" t="s">
        <v>557</v>
      </c>
      <c r="K59" s="39" t="s">
        <v>558</v>
      </c>
      <c r="L59" s="39"/>
      <c r="M59" s="39"/>
      <c r="N59" s="39"/>
      <c r="O59" s="39"/>
      <c r="P59" s="39">
        <v>0</v>
      </c>
      <c r="Q59" s="39">
        <v>1</v>
      </c>
      <c r="R59" s="39" t="s">
        <v>91</v>
      </c>
      <c r="S59" s="39" t="str">
        <f>IF(R59="NEW ELEMENT","N/A", check)</f>
        <v>N/A</v>
      </c>
      <c r="T59" s="39" t="s">
        <v>151</v>
      </c>
    </row>
    <row r="60" spans="1:20" x14ac:dyDescent="0.25">
      <c r="A60" s="41" t="s">
        <v>559</v>
      </c>
      <c r="B60" s="42" t="s">
        <v>162</v>
      </c>
      <c r="C60" s="41" t="s">
        <v>148</v>
      </c>
      <c r="D60" s="41">
        <v>17</v>
      </c>
      <c r="E60" s="41"/>
      <c r="F60" s="41"/>
      <c r="G60" s="41">
        <v>1</v>
      </c>
      <c r="H60" s="41">
        <v>1</v>
      </c>
      <c r="I60" s="41" t="s">
        <v>559</v>
      </c>
      <c r="J60" s="42" t="s">
        <v>560</v>
      </c>
      <c r="K60" s="41" t="s">
        <v>148</v>
      </c>
      <c r="L60" s="41"/>
      <c r="M60" s="41">
        <v>34</v>
      </c>
      <c r="N60" s="41"/>
      <c r="O60" s="41"/>
      <c r="P60" s="41">
        <v>1</v>
      </c>
      <c r="Q60" s="41">
        <v>1</v>
      </c>
      <c r="R60" s="41"/>
      <c r="S60" s="41" t="s">
        <v>29</v>
      </c>
      <c r="T60" s="41" t="s">
        <v>337</v>
      </c>
    </row>
    <row r="61" spans="1:20" x14ac:dyDescent="0.25">
      <c r="A61" s="43"/>
      <c r="B61" s="43"/>
      <c r="C61" s="43"/>
      <c r="D61" s="43"/>
      <c r="E61" s="43"/>
      <c r="F61" s="43"/>
      <c r="G61" s="43"/>
      <c r="H61" s="43"/>
      <c r="I61" s="43" t="s">
        <v>562</v>
      </c>
      <c r="J61" s="44" t="s">
        <v>116</v>
      </c>
      <c r="K61" s="43" t="s">
        <v>117</v>
      </c>
      <c r="L61" s="43"/>
      <c r="M61" s="43">
        <v>140</v>
      </c>
      <c r="N61" s="43"/>
      <c r="O61" s="43"/>
      <c r="P61" s="43">
        <v>1</v>
      </c>
      <c r="Q61" s="43">
        <v>1</v>
      </c>
      <c r="R61" s="43" t="s">
        <v>91</v>
      </c>
      <c r="S61" s="43" t="str">
        <f>IF(R61="NEW ELEMENT","N/A", check)</f>
        <v>N/A</v>
      </c>
      <c r="T61" s="43" t="s">
        <v>336</v>
      </c>
    </row>
    <row r="62" spans="1:20" x14ac:dyDescent="0.25">
      <c r="A62" s="43"/>
      <c r="B62" s="43"/>
      <c r="C62" s="43"/>
      <c r="D62" s="43"/>
      <c r="E62" s="43"/>
      <c r="F62" s="43"/>
      <c r="G62" s="43"/>
      <c r="H62" s="43"/>
      <c r="I62" s="43" t="s">
        <v>563</v>
      </c>
      <c r="J62" s="44" t="s">
        <v>121</v>
      </c>
      <c r="K62" s="43" t="s">
        <v>122</v>
      </c>
      <c r="L62" s="43"/>
      <c r="M62" s="43">
        <v>70</v>
      </c>
      <c r="N62" s="43"/>
      <c r="O62" s="43"/>
      <c r="P62" s="43">
        <v>1</v>
      </c>
      <c r="Q62" s="43">
        <v>1</v>
      </c>
      <c r="R62" s="43" t="s">
        <v>91</v>
      </c>
      <c r="S62" s="43" t="str">
        <f>IF(R62="NEW ELEMENT","N/A", check)</f>
        <v>N/A</v>
      </c>
      <c r="T62" s="43" t="s">
        <v>336</v>
      </c>
    </row>
    <row r="63" spans="1:20" x14ac:dyDescent="0.25">
      <c r="A63" s="43"/>
      <c r="B63" s="43"/>
      <c r="C63" s="43"/>
      <c r="D63" s="43"/>
      <c r="E63" s="43"/>
      <c r="F63" s="43"/>
      <c r="G63" s="43"/>
      <c r="H63" s="43"/>
      <c r="I63" s="43" t="s">
        <v>564</v>
      </c>
      <c r="J63" s="44" t="s">
        <v>125</v>
      </c>
      <c r="K63" s="43" t="s">
        <v>126</v>
      </c>
      <c r="L63" s="43"/>
      <c r="M63" s="43">
        <v>16</v>
      </c>
      <c r="N63" s="43"/>
      <c r="O63" s="43"/>
      <c r="P63" s="43">
        <v>0</v>
      </c>
      <c r="Q63" s="43">
        <v>1</v>
      </c>
      <c r="R63" s="43" t="s">
        <v>91</v>
      </c>
      <c r="S63" s="43" t="str">
        <f>IF(R63="NEW ELEMENT","N/A", check)</f>
        <v>N/A</v>
      </c>
      <c r="T63" s="43" t="s">
        <v>336</v>
      </c>
    </row>
    <row r="64" spans="1:20" x14ac:dyDescent="0.25">
      <c r="A64" s="43"/>
      <c r="B64" s="43"/>
      <c r="C64" s="43"/>
      <c r="D64" s="43"/>
      <c r="E64" s="43"/>
      <c r="F64" s="43"/>
      <c r="G64" s="43"/>
      <c r="H64" s="43"/>
      <c r="I64" s="43" t="s">
        <v>565</v>
      </c>
      <c r="J64" s="44" t="s">
        <v>128</v>
      </c>
      <c r="K64" s="43" t="s">
        <v>129</v>
      </c>
      <c r="L64" s="43"/>
      <c r="M64" s="43">
        <v>16</v>
      </c>
      <c r="N64" s="43"/>
      <c r="O64" s="43"/>
      <c r="P64" s="43">
        <v>1</v>
      </c>
      <c r="Q64" s="43">
        <v>1</v>
      </c>
      <c r="R64" s="43" t="s">
        <v>91</v>
      </c>
      <c r="S64" s="43" t="str">
        <f>IF(R64="NEW ELEMENT","N/A", check)</f>
        <v>N/A</v>
      </c>
      <c r="T64" s="43" t="s">
        <v>336</v>
      </c>
    </row>
    <row r="65" spans="1:20" x14ac:dyDescent="0.25">
      <c r="A65" s="43"/>
      <c r="B65" s="43"/>
      <c r="C65" s="43"/>
      <c r="D65" s="43"/>
      <c r="E65" s="43"/>
      <c r="F65" s="43"/>
      <c r="G65" s="43"/>
      <c r="H65" s="43"/>
      <c r="I65" s="43" t="s">
        <v>566</v>
      </c>
      <c r="J65" s="44" t="s">
        <v>131</v>
      </c>
      <c r="K65" s="43" t="s">
        <v>132</v>
      </c>
      <c r="L65" s="43"/>
      <c r="M65" s="43">
        <v>35</v>
      </c>
      <c r="N65" s="43"/>
      <c r="O65" s="43"/>
      <c r="P65" s="43">
        <v>1</v>
      </c>
      <c r="Q65" s="43">
        <v>1</v>
      </c>
      <c r="R65" s="43" t="s">
        <v>91</v>
      </c>
      <c r="S65" s="43" t="str">
        <f>IF(R65="NEW ELEMENT","N/A", check)</f>
        <v>N/A</v>
      </c>
      <c r="T65" s="43" t="s">
        <v>336</v>
      </c>
    </row>
    <row r="66" spans="1:20" x14ac:dyDescent="0.25">
      <c r="A66" s="43"/>
      <c r="B66" s="43"/>
      <c r="C66" s="43"/>
      <c r="D66" s="43"/>
      <c r="E66" s="43"/>
      <c r="F66" s="43"/>
      <c r="G66" s="43"/>
      <c r="H66" s="43"/>
      <c r="I66" s="43" t="s">
        <v>567</v>
      </c>
      <c r="J66" s="44" t="s">
        <v>134</v>
      </c>
      <c r="K66" s="43" t="s">
        <v>135</v>
      </c>
      <c r="L66" s="43"/>
      <c r="M66" s="43">
        <v>35</v>
      </c>
      <c r="N66" s="43"/>
      <c r="O66" s="43"/>
      <c r="P66" s="43">
        <v>1</v>
      </c>
      <c r="Q66" s="43">
        <v>1</v>
      </c>
      <c r="R66" s="43" t="s">
        <v>91</v>
      </c>
      <c r="S66" s="43" t="str">
        <f>IF(R66="NEW ELEMENT","N/A", check)</f>
        <v>N/A</v>
      </c>
      <c r="T66" s="43" t="s">
        <v>336</v>
      </c>
    </row>
    <row r="67" spans="1:20" x14ac:dyDescent="0.25">
      <c r="A67" s="43"/>
      <c r="B67" s="43"/>
      <c r="C67" s="43"/>
      <c r="D67" s="43"/>
      <c r="E67" s="43"/>
      <c r="F67" s="43"/>
      <c r="G67" s="43"/>
      <c r="H67" s="43"/>
      <c r="I67" s="43" t="s">
        <v>568</v>
      </c>
      <c r="J67" s="44" t="s">
        <v>137</v>
      </c>
      <c r="K67" s="43" t="s">
        <v>138</v>
      </c>
      <c r="L67" s="43"/>
      <c r="M67" s="43"/>
      <c r="N67" s="43">
        <v>2</v>
      </c>
      <c r="O67" s="43"/>
      <c r="P67" s="43">
        <v>1</v>
      </c>
      <c r="Q67" s="43">
        <v>1</v>
      </c>
      <c r="R67" s="43" t="s">
        <v>91</v>
      </c>
      <c r="S67" s="43" t="str">
        <f>IF(R67="NEW ELEMENT","N/A", check)</f>
        <v>N/A</v>
      </c>
      <c r="T67" s="43" t="s">
        <v>336</v>
      </c>
    </row>
    <row r="68" spans="1:20" x14ac:dyDescent="0.25">
      <c r="A68" s="43"/>
      <c r="B68" s="43"/>
      <c r="C68" s="43"/>
      <c r="D68" s="43"/>
      <c r="E68" s="43"/>
      <c r="F68" s="43"/>
      <c r="G68" s="43"/>
      <c r="H68" s="43"/>
      <c r="I68" s="43" t="s">
        <v>569</v>
      </c>
      <c r="J68" s="44" t="s">
        <v>140</v>
      </c>
      <c r="K68" s="43" t="s">
        <v>141</v>
      </c>
      <c r="L68" s="43"/>
      <c r="M68" s="43">
        <v>70</v>
      </c>
      <c r="N68" s="43"/>
      <c r="O68" s="43"/>
      <c r="P68" s="43">
        <v>0</v>
      </c>
      <c r="Q68" s="43">
        <v>1</v>
      </c>
      <c r="R68" s="43" t="s">
        <v>91</v>
      </c>
      <c r="S68" s="43" t="str">
        <f>IF(R68="NEW ELEMENT","N/A", check)</f>
        <v>N/A</v>
      </c>
      <c r="T68" s="43" t="s">
        <v>336</v>
      </c>
    </row>
    <row r="69" spans="1:20" x14ac:dyDescent="0.25">
      <c r="A69" s="43"/>
      <c r="B69" s="43"/>
      <c r="C69" s="43"/>
      <c r="D69" s="43"/>
      <c r="E69" s="43"/>
      <c r="F69" s="43"/>
      <c r="G69" s="43"/>
      <c r="H69" s="43"/>
      <c r="I69" s="43" t="s">
        <v>570</v>
      </c>
      <c r="J69" s="44" t="s">
        <v>143</v>
      </c>
      <c r="K69" s="43" t="s">
        <v>144</v>
      </c>
      <c r="L69" s="43"/>
      <c r="M69" s="43"/>
      <c r="N69" s="43"/>
      <c r="O69" s="43"/>
      <c r="P69" s="43">
        <v>1</v>
      </c>
      <c r="Q69" s="43">
        <v>1</v>
      </c>
      <c r="R69" s="43" t="s">
        <v>91</v>
      </c>
      <c r="S69" s="43" t="str">
        <f>IF(R69="NEW ELEMENT","N/A", check)</f>
        <v>N/A</v>
      </c>
      <c r="T69" s="43" t="s">
        <v>336</v>
      </c>
    </row>
    <row r="70" spans="1:20" x14ac:dyDescent="0.25">
      <c r="A70" s="43"/>
      <c r="B70" s="43"/>
      <c r="C70" s="43"/>
      <c r="D70" s="43"/>
      <c r="E70" s="43"/>
      <c r="F70" s="43"/>
      <c r="G70" s="43"/>
      <c r="H70" s="43"/>
      <c r="I70" s="43" t="s">
        <v>571</v>
      </c>
      <c r="J70" s="44" t="s">
        <v>147</v>
      </c>
      <c r="K70" s="43" t="s">
        <v>148</v>
      </c>
      <c r="L70" s="43"/>
      <c r="M70" s="43">
        <v>35</v>
      </c>
      <c r="N70" s="43"/>
      <c r="O70" s="43"/>
      <c r="P70" s="43">
        <v>1</v>
      </c>
      <c r="Q70" s="43">
        <v>1</v>
      </c>
      <c r="R70" s="43" t="s">
        <v>91</v>
      </c>
      <c r="S70" s="43" t="str">
        <f>IF(R70="NEW ELEMENT","N/A", check)</f>
        <v>N/A</v>
      </c>
      <c r="T70" s="43" t="s">
        <v>336</v>
      </c>
    </row>
    <row r="71" spans="1:20" x14ac:dyDescent="0.25">
      <c r="A71" s="46"/>
      <c r="B71" s="46"/>
      <c r="C71" s="46"/>
      <c r="D71" s="46"/>
      <c r="E71" s="46"/>
      <c r="F71" s="46"/>
      <c r="G71" s="46"/>
      <c r="H71" s="46"/>
      <c r="I71" s="46" t="s">
        <v>572</v>
      </c>
      <c r="J71" s="47" t="s">
        <v>150</v>
      </c>
      <c r="K71" s="46" t="s">
        <v>40</v>
      </c>
      <c r="L71" s="46"/>
      <c r="M71" s="46"/>
      <c r="N71" s="46">
        <v>4</v>
      </c>
      <c r="O71" s="46"/>
      <c r="P71" s="46">
        <v>1</v>
      </c>
      <c r="Q71" s="46">
        <v>1</v>
      </c>
      <c r="R71" s="46" t="s">
        <v>91</v>
      </c>
      <c r="S71" s="46" t="str">
        <f>IF(R71="NEW ELEMENT","N/A", check)</f>
        <v>N/A</v>
      </c>
      <c r="T71" s="46" t="s">
        <v>599</v>
      </c>
    </row>
    <row r="72" spans="1:20" x14ac:dyDescent="0.25">
      <c r="A72" s="46"/>
      <c r="B72" s="46"/>
      <c r="C72" s="46"/>
      <c r="D72" s="46"/>
      <c r="E72" s="46"/>
      <c r="F72" s="46"/>
      <c r="G72" s="46"/>
      <c r="H72" s="46"/>
      <c r="I72" s="46" t="s">
        <v>574</v>
      </c>
      <c r="J72" s="47" t="s">
        <v>575</v>
      </c>
      <c r="K72" s="46" t="s">
        <v>291</v>
      </c>
      <c r="L72" s="46"/>
      <c r="M72" s="46">
        <v>140</v>
      </c>
      <c r="N72" s="46"/>
      <c r="O72" s="46"/>
      <c r="P72" s="46">
        <v>1</v>
      </c>
      <c r="Q72" s="46">
        <v>1</v>
      </c>
      <c r="R72" s="46" t="s">
        <v>91</v>
      </c>
      <c r="S72" s="46" t="str">
        <f>IF(R72="NEW ELEMENT","N/A", check)</f>
        <v>N/A</v>
      </c>
      <c r="T72" s="46" t="s">
        <v>600</v>
      </c>
    </row>
    <row r="73" spans="1:20" x14ac:dyDescent="0.25">
      <c r="A73" s="35" t="s">
        <v>576</v>
      </c>
      <c r="B73" s="36" t="s">
        <v>577</v>
      </c>
      <c r="C73" s="35" t="s">
        <v>294</v>
      </c>
      <c r="D73" s="35">
        <v>35</v>
      </c>
      <c r="E73" s="35"/>
      <c r="F73" s="35"/>
      <c r="G73" s="35">
        <v>0</v>
      </c>
      <c r="H73" s="35">
        <v>1</v>
      </c>
      <c r="I73" s="35" t="s">
        <v>576</v>
      </c>
      <c r="J73" s="36" t="s">
        <v>578</v>
      </c>
      <c r="K73" s="35" t="s">
        <v>294</v>
      </c>
      <c r="L73" s="35"/>
      <c r="M73" s="35">
        <v>35</v>
      </c>
      <c r="N73" s="35"/>
      <c r="O73" s="35"/>
      <c r="P73" s="35">
        <v>0</v>
      </c>
      <c r="Q73" s="35">
        <v>1</v>
      </c>
      <c r="R73" s="35"/>
      <c r="S73" s="35" t="s">
        <v>29</v>
      </c>
      <c r="T73" s="35" t="s">
        <v>29</v>
      </c>
    </row>
    <row r="74" spans="1:20" x14ac:dyDescent="0.25">
      <c r="A74" s="35" t="s">
        <v>579</v>
      </c>
      <c r="B74" s="36" t="s">
        <v>580</v>
      </c>
      <c r="C74" s="35" t="s">
        <v>299</v>
      </c>
      <c r="D74" s="35"/>
      <c r="E74" s="35"/>
      <c r="F74" s="35"/>
      <c r="G74" s="35">
        <v>1</v>
      </c>
      <c r="H74" s="35">
        <v>1</v>
      </c>
      <c r="I74" s="35" t="s">
        <v>579</v>
      </c>
      <c r="J74" s="36" t="s">
        <v>581</v>
      </c>
      <c r="K74" s="35" t="s">
        <v>299</v>
      </c>
      <c r="L74" s="35"/>
      <c r="M74" s="35"/>
      <c r="N74" s="35">
        <v>4</v>
      </c>
      <c r="O74" s="35"/>
      <c r="P74" s="35">
        <v>1</v>
      </c>
      <c r="Q74" s="35">
        <v>1</v>
      </c>
      <c r="R74" s="35"/>
      <c r="S74" s="35" t="s">
        <v>340</v>
      </c>
      <c r="T74" s="35" t="s">
        <v>340</v>
      </c>
    </row>
    <row r="75" spans="1:20" ht="60" x14ac:dyDescent="0.25">
      <c r="A75" s="46" t="s">
        <v>582</v>
      </c>
      <c r="B75" s="47" t="s">
        <v>583</v>
      </c>
      <c r="C75" s="46" t="s">
        <v>304</v>
      </c>
      <c r="D75" s="46">
        <v>2048</v>
      </c>
      <c r="E75" s="46"/>
      <c r="F75" s="46"/>
      <c r="G75" s="46">
        <v>1</v>
      </c>
      <c r="H75" s="46">
        <v>1</v>
      </c>
      <c r="I75" s="46" t="s">
        <v>582</v>
      </c>
      <c r="J75" s="47" t="s">
        <v>584</v>
      </c>
      <c r="K75" s="46" t="s">
        <v>304</v>
      </c>
      <c r="L75" s="46"/>
      <c r="M75" s="46">
        <v>2048</v>
      </c>
      <c r="N75" s="46"/>
      <c r="O75" s="46"/>
      <c r="P75" s="46">
        <v>1</v>
      </c>
      <c r="Q75" s="46">
        <v>1</v>
      </c>
      <c r="R75" s="46"/>
      <c r="S75" s="10" t="s">
        <v>601</v>
      </c>
      <c r="T75" s="46" t="s">
        <v>342</v>
      </c>
    </row>
    <row r="76" spans="1:20" x14ac:dyDescent="0.25">
      <c r="A76" s="37" t="s">
        <v>586</v>
      </c>
      <c r="B76" s="38" t="s">
        <v>587</v>
      </c>
      <c r="C76" s="37" t="s">
        <v>310</v>
      </c>
      <c r="D76" s="37">
        <v>140</v>
      </c>
      <c r="E76" s="37"/>
      <c r="F76" s="37"/>
      <c r="G76" s="37">
        <v>0</v>
      </c>
      <c r="H76" s="37">
        <v>1</v>
      </c>
      <c r="I76" s="37" t="s">
        <v>586</v>
      </c>
      <c r="J76" s="38" t="s">
        <v>588</v>
      </c>
      <c r="K76" s="37" t="s">
        <v>310</v>
      </c>
      <c r="L76" s="37"/>
      <c r="M76" s="37">
        <v>140</v>
      </c>
      <c r="N76" s="37"/>
      <c r="O76" s="37"/>
      <c r="P76" s="37">
        <v>0</v>
      </c>
      <c r="Q76" s="37">
        <v>1</v>
      </c>
      <c r="R76" s="37"/>
      <c r="S76" s="37" t="s">
        <v>29</v>
      </c>
      <c r="T76" s="37" t="s">
        <v>589</v>
      </c>
    </row>
    <row r="77" spans="1:20" x14ac:dyDescent="0.25">
      <c r="A77" s="39"/>
      <c r="B77" s="39"/>
      <c r="C77" s="39"/>
      <c r="D77" s="39"/>
      <c r="E77" s="39"/>
      <c r="F77" s="39"/>
      <c r="G77" s="39"/>
      <c r="H77" s="39"/>
      <c r="I77" s="39" t="s">
        <v>590</v>
      </c>
      <c r="J77" s="40" t="s">
        <v>209</v>
      </c>
      <c r="K77" s="39" t="s">
        <v>85</v>
      </c>
      <c r="L77" s="39"/>
      <c r="M77" s="39">
        <v>35</v>
      </c>
      <c r="N77" s="39"/>
      <c r="O77" s="39"/>
      <c r="P77" s="39">
        <v>1</v>
      </c>
      <c r="Q77" s="39">
        <v>1</v>
      </c>
      <c r="R77" s="39" t="s">
        <v>91</v>
      </c>
      <c r="S77" s="39" t="str">
        <f>IF(R77="NEW ELEMENT","N/A", check)</f>
        <v>N/A</v>
      </c>
      <c r="T77" s="39" t="s">
        <v>151</v>
      </c>
    </row>
    <row r="78" spans="1:20" x14ac:dyDescent="0.25">
      <c r="A78" s="39"/>
      <c r="B78" s="39"/>
      <c r="C78" s="39"/>
      <c r="D78" s="39"/>
      <c r="E78" s="39"/>
      <c r="F78" s="39"/>
      <c r="G78" s="39"/>
      <c r="H78" s="39"/>
      <c r="I78" s="39" t="s">
        <v>591</v>
      </c>
      <c r="J78" s="40" t="s">
        <v>592</v>
      </c>
      <c r="K78" s="39" t="s">
        <v>328</v>
      </c>
      <c r="L78" s="39"/>
      <c r="M78" s="39"/>
      <c r="N78" s="39"/>
      <c r="O78" s="39">
        <v>18</v>
      </c>
      <c r="P78" s="39">
        <v>1</v>
      </c>
      <c r="Q78" s="39">
        <v>1</v>
      </c>
      <c r="R78" s="39" t="s">
        <v>91</v>
      </c>
      <c r="S78" s="39" t="str">
        <f>IF(R78="NEW ELEMENT","N/A", check)</f>
        <v>N/A</v>
      </c>
      <c r="T78" s="39" t="s">
        <v>151</v>
      </c>
    </row>
    <row r="79" spans="1:20" x14ac:dyDescent="0.25">
      <c r="A79" s="39"/>
      <c r="B79" s="39"/>
      <c r="C79" s="39"/>
      <c r="D79" s="39"/>
      <c r="E79" s="39"/>
      <c r="F79" s="39"/>
      <c r="G79" s="39"/>
      <c r="H79" s="39"/>
      <c r="I79" s="39" t="s">
        <v>593</v>
      </c>
      <c r="J79" s="40" t="s">
        <v>594</v>
      </c>
      <c r="K79" s="39" t="s">
        <v>54</v>
      </c>
      <c r="L79" s="39"/>
      <c r="M79" s="39"/>
      <c r="N79" s="39">
        <v>3</v>
      </c>
      <c r="O79" s="39"/>
      <c r="P79" s="39"/>
      <c r="Q79" s="39"/>
      <c r="R79" s="39" t="s">
        <v>91</v>
      </c>
      <c r="S79" s="39" t="str">
        <f>IF(R79="NEW ELEMENT","N/A", check)</f>
        <v>N/A</v>
      </c>
      <c r="T79" s="39" t="s">
        <v>151</v>
      </c>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K27"/>
  <sheetViews>
    <sheetView topLeftCell="H1" zoomScale="75" zoomScaleNormal="75" workbookViewId="0">
      <pane ySplit="1" topLeftCell="A2" activePane="bottomLeft" state="frozen"/>
      <selection activeCell="H1" sqref="H1"/>
      <selection pane="bottomLeft" activeCell="A6" sqref="A6"/>
    </sheetView>
  </sheetViews>
  <sheetFormatPr defaultRowHeight="15" x14ac:dyDescent="0.25"/>
  <cols>
    <col min="1" max="1" width="80.85546875" style="12" customWidth="1"/>
    <col min="2" max="2" width="14.7109375" style="12" customWidth="1"/>
    <col min="3" max="8" width="8.7109375" style="12" customWidth="1"/>
    <col min="9" max="9" width="100" style="12" customWidth="1"/>
    <col min="10" max="10" width="8.7109375" style="12" customWidth="1"/>
    <col min="11" max="11" width="18.5703125" style="12" customWidth="1"/>
    <col min="12" max="12" width="11.5703125" style="12" hidden="1"/>
    <col min="13" max="15" width="8.7109375" style="12" customWidth="1"/>
    <col min="16" max="16" width="5.42578125" style="12" customWidth="1"/>
    <col min="17" max="17" width="8.7109375" style="12" customWidth="1"/>
    <col min="18" max="18" width="19" style="12" customWidth="1"/>
    <col min="19" max="19" width="29.85546875" style="12" customWidth="1"/>
    <col min="20" max="20" width="51" style="12" customWidth="1"/>
    <col min="21" max="1025" width="8.7109375" style="12" customWidth="1"/>
  </cols>
  <sheetData>
    <row r="1" spans="1:20" s="48" customFormat="1"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23</v>
      </c>
      <c r="T1" s="11" t="s">
        <v>345</v>
      </c>
    </row>
    <row r="2" spans="1:20" x14ac:dyDescent="0.25">
      <c r="A2" s="12" t="s">
        <v>602</v>
      </c>
      <c r="B2" s="13" t="s">
        <v>26</v>
      </c>
      <c r="C2" s="12" t="s">
        <v>27</v>
      </c>
      <c r="D2" s="12">
        <v>35</v>
      </c>
      <c r="G2" s="12">
        <v>1</v>
      </c>
      <c r="H2" s="12">
        <v>1</v>
      </c>
      <c r="I2" s="12" t="s">
        <v>602</v>
      </c>
      <c r="J2" s="13" t="s">
        <v>26</v>
      </c>
      <c r="K2" s="12" t="s">
        <v>27</v>
      </c>
      <c r="M2" s="12">
        <v>35</v>
      </c>
      <c r="P2" s="12">
        <v>1</v>
      </c>
      <c r="Q2" s="12">
        <v>1</v>
      </c>
      <c r="S2" s="12" t="s">
        <v>29</v>
      </c>
      <c r="T2" s="12" t="s">
        <v>29</v>
      </c>
    </row>
    <row r="3" spans="1:20" x14ac:dyDescent="0.25">
      <c r="A3" s="12" t="s">
        <v>603</v>
      </c>
      <c r="B3" s="13" t="s">
        <v>35</v>
      </c>
      <c r="C3" s="12" t="s">
        <v>36</v>
      </c>
      <c r="E3" s="12">
        <v>19</v>
      </c>
      <c r="G3" s="12">
        <v>1</v>
      </c>
      <c r="H3" s="12">
        <v>1</v>
      </c>
      <c r="I3" s="12" t="s">
        <v>603</v>
      </c>
      <c r="J3" s="13" t="s">
        <v>35</v>
      </c>
      <c r="K3" s="12" t="s">
        <v>36</v>
      </c>
      <c r="N3" s="12">
        <v>19</v>
      </c>
      <c r="P3" s="12">
        <v>1</v>
      </c>
      <c r="Q3" s="12">
        <v>1</v>
      </c>
      <c r="S3" s="12" t="s">
        <v>29</v>
      </c>
      <c r="T3" s="12" t="s">
        <v>29</v>
      </c>
    </row>
    <row r="4" spans="1:20" x14ac:dyDescent="0.25">
      <c r="A4" s="12" t="s">
        <v>604</v>
      </c>
      <c r="B4" s="13" t="s">
        <v>605</v>
      </c>
      <c r="C4" s="12" t="s">
        <v>148</v>
      </c>
      <c r="D4" s="12">
        <v>9</v>
      </c>
      <c r="G4" s="12">
        <v>1</v>
      </c>
      <c r="H4" s="12">
        <v>1</v>
      </c>
      <c r="I4" s="12" t="s">
        <v>604</v>
      </c>
      <c r="J4" s="13" t="s">
        <v>42</v>
      </c>
      <c r="K4" s="12" t="s">
        <v>148</v>
      </c>
      <c r="M4" s="12">
        <v>9</v>
      </c>
      <c r="P4" s="12">
        <v>1</v>
      </c>
      <c r="Q4" s="12">
        <v>1</v>
      </c>
      <c r="S4" s="12" t="s">
        <v>29</v>
      </c>
      <c r="T4" s="12" t="s">
        <v>29</v>
      </c>
    </row>
    <row r="5" spans="1:20" x14ac:dyDescent="0.25">
      <c r="A5" s="12" t="s">
        <v>606</v>
      </c>
      <c r="B5" s="13" t="s">
        <v>349</v>
      </c>
      <c r="C5" s="12" t="s">
        <v>350</v>
      </c>
      <c r="D5" s="12">
        <v>35</v>
      </c>
      <c r="G5" s="12">
        <v>1</v>
      </c>
      <c r="H5" s="12">
        <v>1</v>
      </c>
      <c r="I5" s="12" t="s">
        <v>606</v>
      </c>
      <c r="J5" s="13" t="s">
        <v>349</v>
      </c>
      <c r="K5" s="12" t="s">
        <v>350</v>
      </c>
      <c r="M5" s="12">
        <v>35</v>
      </c>
      <c r="P5" s="12">
        <v>1</v>
      </c>
      <c r="Q5" s="12">
        <v>1</v>
      </c>
      <c r="S5" s="12" t="s">
        <v>29</v>
      </c>
      <c r="T5" s="12" t="s">
        <v>29</v>
      </c>
    </row>
    <row r="6" spans="1:20" x14ac:dyDescent="0.25">
      <c r="A6" s="12" t="s">
        <v>607</v>
      </c>
      <c r="B6" s="13" t="s">
        <v>63</v>
      </c>
      <c r="C6" s="12" t="s">
        <v>352</v>
      </c>
      <c r="D6" s="12">
        <v>35</v>
      </c>
      <c r="G6" s="12">
        <v>1</v>
      </c>
      <c r="H6" s="12">
        <v>1</v>
      </c>
      <c r="I6" s="12" t="s">
        <v>607</v>
      </c>
      <c r="J6" s="13" t="s">
        <v>63</v>
      </c>
      <c r="K6" s="12" t="s">
        <v>352</v>
      </c>
      <c r="M6" s="12">
        <v>35</v>
      </c>
      <c r="P6" s="12">
        <v>1</v>
      </c>
      <c r="Q6" s="12">
        <v>1</v>
      </c>
      <c r="S6" s="12" t="s">
        <v>608</v>
      </c>
      <c r="T6" s="12" t="s">
        <v>609</v>
      </c>
    </row>
    <row r="7" spans="1:20" x14ac:dyDescent="0.25">
      <c r="A7" s="12" t="s">
        <v>610</v>
      </c>
      <c r="B7" s="13" t="s">
        <v>67</v>
      </c>
      <c r="C7" s="12" t="s">
        <v>355</v>
      </c>
      <c r="E7" s="12">
        <v>19</v>
      </c>
      <c r="G7" s="12">
        <v>1</v>
      </c>
      <c r="H7" s="12">
        <v>1</v>
      </c>
      <c r="I7" s="12" t="s">
        <v>610</v>
      </c>
      <c r="J7" s="13" t="s">
        <v>67</v>
      </c>
      <c r="K7" s="12" t="s">
        <v>355</v>
      </c>
      <c r="N7" s="12">
        <v>19</v>
      </c>
      <c r="P7" s="12">
        <v>1</v>
      </c>
      <c r="Q7" s="12">
        <v>1</v>
      </c>
      <c r="S7" s="12" t="s">
        <v>29</v>
      </c>
      <c r="T7" s="12" t="s">
        <v>29</v>
      </c>
    </row>
    <row r="8" spans="1:20" x14ac:dyDescent="0.25">
      <c r="A8" s="12" t="s">
        <v>611</v>
      </c>
      <c r="B8" s="13" t="s">
        <v>71</v>
      </c>
      <c r="C8" s="12" t="s">
        <v>357</v>
      </c>
      <c r="E8" s="12">
        <v>1</v>
      </c>
      <c r="G8" s="12">
        <v>1</v>
      </c>
      <c r="H8" s="12">
        <v>1</v>
      </c>
      <c r="I8" s="12" t="s">
        <v>611</v>
      </c>
      <c r="J8" s="13" t="s">
        <v>71</v>
      </c>
      <c r="K8" s="12" t="s">
        <v>357</v>
      </c>
      <c r="N8" s="12">
        <v>1</v>
      </c>
      <c r="P8" s="12">
        <v>1</v>
      </c>
      <c r="Q8" s="12">
        <v>1</v>
      </c>
      <c r="S8" s="12" t="s">
        <v>29</v>
      </c>
      <c r="T8" s="12" t="s">
        <v>29</v>
      </c>
    </row>
    <row r="9" spans="1:20" x14ac:dyDescent="0.25">
      <c r="A9" s="12" t="s">
        <v>612</v>
      </c>
      <c r="B9" s="13" t="s">
        <v>613</v>
      </c>
      <c r="C9" s="12" t="s">
        <v>614</v>
      </c>
      <c r="D9" s="12">
        <v>35</v>
      </c>
      <c r="G9" s="12">
        <v>1</v>
      </c>
      <c r="H9" s="12">
        <v>1</v>
      </c>
      <c r="I9" s="12" t="s">
        <v>612</v>
      </c>
      <c r="J9" s="13" t="s">
        <v>613</v>
      </c>
      <c r="K9" s="12" t="s">
        <v>614</v>
      </c>
      <c r="M9" s="12">
        <v>35</v>
      </c>
      <c r="P9" s="12">
        <v>1</v>
      </c>
      <c r="Q9" s="12">
        <v>1</v>
      </c>
      <c r="S9" s="12" t="s">
        <v>29</v>
      </c>
      <c r="T9" s="12" t="s">
        <v>29</v>
      </c>
    </row>
    <row r="10" spans="1:20" x14ac:dyDescent="0.25">
      <c r="A10" s="12" t="s">
        <v>615</v>
      </c>
      <c r="B10" s="13" t="s">
        <v>616</v>
      </c>
      <c r="C10" s="12" t="s">
        <v>366</v>
      </c>
      <c r="G10" s="12">
        <v>1</v>
      </c>
      <c r="H10" s="12">
        <v>1</v>
      </c>
      <c r="I10" s="12" t="s">
        <v>615</v>
      </c>
      <c r="J10" s="13" t="s">
        <v>617</v>
      </c>
      <c r="K10" s="12" t="s">
        <v>366</v>
      </c>
      <c r="M10" s="12">
        <v>4</v>
      </c>
      <c r="P10" s="12">
        <v>1</v>
      </c>
      <c r="Q10" s="12">
        <v>1</v>
      </c>
      <c r="S10" s="12" t="s">
        <v>29</v>
      </c>
      <c r="T10" s="12" t="s">
        <v>618</v>
      </c>
    </row>
    <row r="11" spans="1:20" x14ac:dyDescent="0.25">
      <c r="A11" s="12" t="s">
        <v>619</v>
      </c>
      <c r="B11" s="13" t="s">
        <v>620</v>
      </c>
      <c r="C11" s="12" t="s">
        <v>40</v>
      </c>
      <c r="D11" s="12">
        <v>4</v>
      </c>
      <c r="G11" s="12">
        <v>1</v>
      </c>
      <c r="H11" s="12">
        <v>1</v>
      </c>
      <c r="I11" s="12" t="s">
        <v>619</v>
      </c>
      <c r="J11" s="13" t="s">
        <v>621</v>
      </c>
      <c r="K11" s="12" t="s">
        <v>40</v>
      </c>
      <c r="M11" s="12">
        <v>4</v>
      </c>
      <c r="P11" s="12">
        <v>1</v>
      </c>
      <c r="Q11" s="12">
        <v>1</v>
      </c>
      <c r="S11" s="12" t="s">
        <v>622</v>
      </c>
      <c r="T11" s="12" t="s">
        <v>623</v>
      </c>
    </row>
    <row r="12" spans="1:20" x14ac:dyDescent="0.25">
      <c r="A12" s="12" t="s">
        <v>624</v>
      </c>
      <c r="B12" s="13" t="s">
        <v>625</v>
      </c>
      <c r="C12" s="12" t="s">
        <v>85</v>
      </c>
      <c r="G12" s="12">
        <v>1</v>
      </c>
      <c r="H12" s="12">
        <v>1</v>
      </c>
      <c r="I12" s="12" t="s">
        <v>624</v>
      </c>
      <c r="J12" s="13" t="s">
        <v>626</v>
      </c>
      <c r="K12" s="12" t="s">
        <v>85</v>
      </c>
      <c r="N12" s="12">
        <v>4</v>
      </c>
      <c r="P12" s="12">
        <v>1</v>
      </c>
      <c r="Q12" s="12">
        <v>1</v>
      </c>
      <c r="S12" s="12" t="s">
        <v>622</v>
      </c>
      <c r="T12" s="12" t="s">
        <v>623</v>
      </c>
    </row>
    <row r="13" spans="1:20" ht="30" x14ac:dyDescent="0.25">
      <c r="A13" s="12" t="s">
        <v>627</v>
      </c>
      <c r="B13" s="13" t="s">
        <v>628</v>
      </c>
      <c r="C13" s="12" t="s">
        <v>378</v>
      </c>
      <c r="D13" s="12">
        <v>105</v>
      </c>
      <c r="G13" s="12">
        <v>0</v>
      </c>
      <c r="H13" s="12">
        <v>1</v>
      </c>
      <c r="I13" s="12" t="s">
        <v>627</v>
      </c>
      <c r="J13" s="13" t="s">
        <v>629</v>
      </c>
      <c r="K13" s="12" t="s">
        <v>378</v>
      </c>
      <c r="M13" s="12">
        <v>105</v>
      </c>
      <c r="P13" s="12">
        <v>0</v>
      </c>
      <c r="Q13" s="12">
        <v>1</v>
      </c>
      <c r="S13" s="48" t="s">
        <v>630</v>
      </c>
      <c r="T13" s="12" t="s">
        <v>631</v>
      </c>
    </row>
    <row r="14" spans="1:20" x14ac:dyDescent="0.25">
      <c r="A14" s="12" t="s">
        <v>632</v>
      </c>
      <c r="B14" s="13" t="s">
        <v>633</v>
      </c>
      <c r="C14" s="12" t="s">
        <v>415</v>
      </c>
      <c r="E14" s="12">
        <v>10</v>
      </c>
      <c r="G14" s="12">
        <v>1</v>
      </c>
      <c r="H14" s="12">
        <v>1</v>
      </c>
      <c r="I14" s="12" t="s">
        <v>634</v>
      </c>
      <c r="J14" s="13" t="s">
        <v>635</v>
      </c>
      <c r="K14" s="12" t="s">
        <v>417</v>
      </c>
      <c r="N14" s="12">
        <v>10</v>
      </c>
      <c r="P14" s="12">
        <v>1</v>
      </c>
      <c r="Q14" s="12">
        <v>1</v>
      </c>
      <c r="S14" s="12" t="s">
        <v>29</v>
      </c>
      <c r="T14" s="12" t="s">
        <v>29</v>
      </c>
    </row>
    <row r="15" spans="1:20" x14ac:dyDescent="0.25">
      <c r="B15" s="13"/>
      <c r="I15" s="12" t="s">
        <v>636</v>
      </c>
      <c r="J15" s="13" t="s">
        <v>637</v>
      </c>
      <c r="K15" s="12" t="s">
        <v>420</v>
      </c>
      <c r="N15" s="12">
        <v>19</v>
      </c>
      <c r="P15" s="12">
        <v>1</v>
      </c>
      <c r="Q15" s="12">
        <v>1</v>
      </c>
      <c r="R15" s="12" t="s">
        <v>91</v>
      </c>
      <c r="S15" s="12" t="s">
        <v>118</v>
      </c>
      <c r="T15" s="12" t="s">
        <v>638</v>
      </c>
    </row>
    <row r="16" spans="1:20" s="14" customFormat="1" x14ac:dyDescent="0.25">
      <c r="A16" s="14" t="s">
        <v>639</v>
      </c>
      <c r="B16" s="15" t="s">
        <v>640</v>
      </c>
      <c r="C16" s="14" t="s">
        <v>106</v>
      </c>
      <c r="D16" s="14">
        <v>9</v>
      </c>
      <c r="G16" s="14">
        <v>1</v>
      </c>
      <c r="H16" s="14">
        <v>1</v>
      </c>
      <c r="I16" s="14" t="s">
        <v>639</v>
      </c>
      <c r="J16" s="15" t="s">
        <v>641</v>
      </c>
      <c r="K16" s="14" t="s">
        <v>106</v>
      </c>
      <c r="M16" s="14">
        <v>9</v>
      </c>
      <c r="P16" s="14">
        <v>1</v>
      </c>
      <c r="Q16" s="14">
        <v>1</v>
      </c>
      <c r="S16" s="14" t="s">
        <v>29</v>
      </c>
      <c r="T16" s="14" t="s">
        <v>642</v>
      </c>
    </row>
    <row r="17" spans="1:20" x14ac:dyDescent="0.25">
      <c r="A17" s="12" t="s">
        <v>643</v>
      </c>
      <c r="B17" s="13" t="s">
        <v>644</v>
      </c>
      <c r="C17" s="12" t="s">
        <v>117</v>
      </c>
      <c r="D17" s="12">
        <v>140</v>
      </c>
      <c r="G17" s="12">
        <v>1</v>
      </c>
      <c r="H17" s="12">
        <v>1</v>
      </c>
      <c r="I17" s="12" t="s">
        <v>643</v>
      </c>
      <c r="J17" s="13" t="s">
        <v>645</v>
      </c>
      <c r="K17" s="12" t="s">
        <v>117</v>
      </c>
      <c r="M17" s="12">
        <v>140</v>
      </c>
      <c r="P17" s="12">
        <v>1</v>
      </c>
      <c r="Q17" s="12">
        <v>1</v>
      </c>
      <c r="S17" s="12" t="s">
        <v>29</v>
      </c>
      <c r="T17" s="12" t="s">
        <v>29</v>
      </c>
    </row>
    <row r="18" spans="1:20" x14ac:dyDescent="0.25">
      <c r="I18" s="12" t="s">
        <v>646</v>
      </c>
      <c r="J18" s="13" t="s">
        <v>647</v>
      </c>
      <c r="K18" s="12" t="s">
        <v>513</v>
      </c>
      <c r="O18" s="12">
        <v>18</v>
      </c>
      <c r="P18" s="12">
        <v>1</v>
      </c>
      <c r="Q18" s="12">
        <v>1</v>
      </c>
      <c r="R18" s="12" t="s">
        <v>91</v>
      </c>
      <c r="S18" s="12" t="s">
        <v>118</v>
      </c>
      <c r="T18" s="12" t="s">
        <v>648</v>
      </c>
    </row>
    <row r="19" spans="1:20" x14ac:dyDescent="0.25">
      <c r="I19" s="12" t="s">
        <v>649</v>
      </c>
      <c r="J19" s="13" t="s">
        <v>650</v>
      </c>
      <c r="K19" s="12" t="s">
        <v>54</v>
      </c>
      <c r="N19" s="12">
        <v>3</v>
      </c>
      <c r="R19" s="12" t="s">
        <v>91</v>
      </c>
      <c r="S19" s="12" t="s">
        <v>118</v>
      </c>
      <c r="T19" s="12" t="s">
        <v>648</v>
      </c>
    </row>
    <row r="20" spans="1:20" x14ac:dyDescent="0.25">
      <c r="I20" s="12" t="s">
        <v>651</v>
      </c>
      <c r="J20" s="13" t="s">
        <v>652</v>
      </c>
      <c r="K20" s="12" t="s">
        <v>144</v>
      </c>
      <c r="P20" s="12">
        <v>0</v>
      </c>
      <c r="Q20" s="12">
        <v>1</v>
      </c>
      <c r="R20" s="12" t="s">
        <v>91</v>
      </c>
      <c r="S20" s="12" t="s">
        <v>118</v>
      </c>
      <c r="T20" s="12" t="s">
        <v>648</v>
      </c>
    </row>
    <row r="21" spans="1:20" x14ac:dyDescent="0.25">
      <c r="I21" s="12" t="s">
        <v>653</v>
      </c>
      <c r="J21" s="13" t="s">
        <v>654</v>
      </c>
      <c r="K21" s="12" t="s">
        <v>188</v>
      </c>
      <c r="N21" s="12">
        <v>10</v>
      </c>
      <c r="P21" s="12">
        <v>1</v>
      </c>
      <c r="Q21" s="12">
        <v>1</v>
      </c>
      <c r="R21" s="12" t="s">
        <v>91</v>
      </c>
      <c r="S21" s="12" t="s">
        <v>118</v>
      </c>
      <c r="T21" s="12" t="s">
        <v>648</v>
      </c>
    </row>
    <row r="22" spans="1:20" x14ac:dyDescent="0.25">
      <c r="I22" s="12" t="s">
        <v>655</v>
      </c>
      <c r="J22" s="13" t="s">
        <v>656</v>
      </c>
      <c r="K22" s="12" t="s">
        <v>198</v>
      </c>
      <c r="N22" s="12">
        <v>2</v>
      </c>
      <c r="P22" s="12">
        <v>1</v>
      </c>
      <c r="Q22" s="12">
        <v>1</v>
      </c>
      <c r="R22" s="12" t="s">
        <v>91</v>
      </c>
      <c r="S22" s="12" t="s">
        <v>118</v>
      </c>
      <c r="T22" s="12" t="s">
        <v>648</v>
      </c>
    </row>
    <row r="23" spans="1:20" x14ac:dyDescent="0.25">
      <c r="I23" s="12" t="s">
        <v>657</v>
      </c>
      <c r="J23" s="13" t="s">
        <v>658</v>
      </c>
      <c r="K23" s="12" t="s">
        <v>193</v>
      </c>
      <c r="M23" s="12">
        <v>35</v>
      </c>
      <c r="P23" s="12">
        <v>1</v>
      </c>
      <c r="Q23" s="12">
        <v>1</v>
      </c>
      <c r="R23" s="12" t="s">
        <v>91</v>
      </c>
      <c r="S23" s="12" t="s">
        <v>118</v>
      </c>
      <c r="T23" s="12" t="s">
        <v>648</v>
      </c>
    </row>
    <row r="24" spans="1:20" x14ac:dyDescent="0.25">
      <c r="I24" s="12" t="s">
        <v>659</v>
      </c>
      <c r="J24" s="13" t="s">
        <v>386</v>
      </c>
      <c r="K24" s="12" t="s">
        <v>660</v>
      </c>
      <c r="O24" s="12">
        <v>18</v>
      </c>
      <c r="P24" s="12">
        <v>1</v>
      </c>
      <c r="Q24" s="12">
        <v>1</v>
      </c>
      <c r="R24" s="12" t="s">
        <v>91</v>
      </c>
      <c r="S24" s="12" t="s">
        <v>118</v>
      </c>
      <c r="T24" s="12" t="s">
        <v>648</v>
      </c>
    </row>
    <row r="25" spans="1:20" x14ac:dyDescent="0.25">
      <c r="I25" s="12" t="s">
        <v>661</v>
      </c>
      <c r="J25" s="13" t="s">
        <v>392</v>
      </c>
      <c r="K25" s="12" t="s">
        <v>54</v>
      </c>
      <c r="N25" s="12">
        <v>3</v>
      </c>
      <c r="R25" s="12" t="s">
        <v>91</v>
      </c>
      <c r="S25" s="12" t="s">
        <v>118</v>
      </c>
      <c r="T25" s="12" t="s">
        <v>648</v>
      </c>
    </row>
    <row r="26" spans="1:20" s="14" customFormat="1" x14ac:dyDescent="0.25">
      <c r="I26" s="14" t="s">
        <v>662</v>
      </c>
      <c r="J26" s="15" t="s">
        <v>663</v>
      </c>
      <c r="K26" s="14" t="s">
        <v>664</v>
      </c>
      <c r="P26" s="14">
        <v>1</v>
      </c>
      <c r="Q26" s="14">
        <v>1</v>
      </c>
      <c r="R26" s="14" t="s">
        <v>91</v>
      </c>
      <c r="S26" s="14" t="s">
        <v>118</v>
      </c>
      <c r="T26" s="14" t="s">
        <v>648</v>
      </c>
    </row>
    <row r="27" spans="1:20" x14ac:dyDescent="0.25">
      <c r="I27" s="12" t="s">
        <v>665</v>
      </c>
      <c r="J27" s="13" t="s">
        <v>666</v>
      </c>
      <c r="K27" s="12" t="s">
        <v>667</v>
      </c>
      <c r="P27" s="12">
        <v>1</v>
      </c>
      <c r="Q27" s="12">
        <v>1</v>
      </c>
      <c r="R27" s="12" t="s">
        <v>91</v>
      </c>
      <c r="S27" s="12" t="s">
        <v>118</v>
      </c>
      <c r="T27" s="12" t="s">
        <v>648</v>
      </c>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MK49"/>
  <sheetViews>
    <sheetView topLeftCell="K1" zoomScale="75" zoomScaleNormal="75" workbookViewId="0">
      <pane ySplit="1" topLeftCell="A2" activePane="bottomLeft" state="frozen"/>
      <selection activeCell="K1" sqref="K1"/>
      <selection pane="bottomLeft" activeCell="S19" sqref="S19"/>
    </sheetView>
  </sheetViews>
  <sheetFormatPr defaultRowHeight="15" x14ac:dyDescent="0.25"/>
  <cols>
    <col min="1" max="1" width="63.5703125" style="12" customWidth="1"/>
    <col min="2" max="2" width="9.85546875" style="12" customWidth="1"/>
    <col min="3" max="3" width="20.28515625" style="12" customWidth="1"/>
    <col min="4" max="4" width="8.7109375" style="12" customWidth="1"/>
    <col min="5" max="5" width="10.5703125" style="12" customWidth="1"/>
    <col min="6" max="6" width="8.7109375" style="12" customWidth="1"/>
    <col min="7" max="7" width="6.7109375" style="12" customWidth="1"/>
    <col min="8" max="8" width="7" style="12" customWidth="1"/>
    <col min="9" max="9" width="63.5703125" style="12" customWidth="1"/>
    <col min="10" max="10" width="9" style="12" customWidth="1"/>
    <col min="11" max="11" width="21" style="12" customWidth="1"/>
    <col min="12" max="12" width="11.5703125" style="12" hidden="1"/>
    <col min="13" max="15" width="8.7109375" style="12" customWidth="1"/>
    <col min="16" max="16" width="7.140625" style="12" customWidth="1"/>
    <col min="17" max="17" width="7.28515625" style="12" customWidth="1"/>
    <col min="18" max="19" width="15.42578125" style="12" customWidth="1"/>
    <col min="20" max="20" width="29.140625" style="12" customWidth="1"/>
    <col min="21" max="21" width="27.28515625" style="12" customWidth="1"/>
    <col min="22" max="1025" width="8.7109375" style="12" customWidth="1"/>
  </cols>
  <sheetData>
    <row r="1" spans="1:21"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344</v>
      </c>
      <c r="T1" s="11" t="s">
        <v>345</v>
      </c>
    </row>
    <row r="2" spans="1:21" x14ac:dyDescent="0.25">
      <c r="A2" s="12" t="s">
        <v>668</v>
      </c>
      <c r="B2" s="13" t="s">
        <v>26</v>
      </c>
      <c r="C2" s="12" t="s">
        <v>148</v>
      </c>
      <c r="D2" s="12">
        <v>35</v>
      </c>
      <c r="G2" s="12">
        <v>1</v>
      </c>
      <c r="H2" s="12">
        <v>1</v>
      </c>
      <c r="I2" s="12" t="s">
        <v>668</v>
      </c>
      <c r="J2" s="13" t="s">
        <v>26</v>
      </c>
      <c r="K2" s="12" t="s">
        <v>148</v>
      </c>
      <c r="M2" s="12">
        <v>35</v>
      </c>
      <c r="P2" s="12">
        <v>1</v>
      </c>
      <c r="Q2" s="12">
        <v>1</v>
      </c>
      <c r="S2" s="12" t="s">
        <v>29</v>
      </c>
      <c r="T2" s="12" t="s">
        <v>29</v>
      </c>
    </row>
    <row r="3" spans="1:21" s="14" customFormat="1" x14ac:dyDescent="0.25">
      <c r="A3" s="14" t="s">
        <v>669</v>
      </c>
      <c r="B3" s="15" t="s">
        <v>670</v>
      </c>
      <c r="C3" s="14" t="s">
        <v>106</v>
      </c>
      <c r="D3" s="14">
        <v>9</v>
      </c>
      <c r="G3" s="14">
        <v>1</v>
      </c>
      <c r="H3" s="14">
        <v>1</v>
      </c>
      <c r="I3" s="14" t="s">
        <v>669</v>
      </c>
      <c r="J3" s="15" t="s">
        <v>671</v>
      </c>
      <c r="K3" s="14" t="s">
        <v>106</v>
      </c>
      <c r="M3" s="14">
        <v>9</v>
      </c>
      <c r="P3" s="14">
        <v>1</v>
      </c>
      <c r="Q3" s="14">
        <v>1</v>
      </c>
      <c r="S3" s="14" t="s">
        <v>29</v>
      </c>
      <c r="T3" s="14" t="s">
        <v>672</v>
      </c>
    </row>
    <row r="4" spans="1:21" x14ac:dyDescent="0.25">
      <c r="A4" s="12" t="s">
        <v>673</v>
      </c>
      <c r="B4" s="13" t="s">
        <v>674</v>
      </c>
      <c r="C4" s="12" t="s">
        <v>36</v>
      </c>
      <c r="E4" s="12">
        <v>19</v>
      </c>
      <c r="G4" s="12">
        <v>1</v>
      </c>
      <c r="H4" s="12">
        <v>1</v>
      </c>
      <c r="I4" s="12" t="s">
        <v>673</v>
      </c>
      <c r="J4" s="13" t="s">
        <v>675</v>
      </c>
      <c r="K4" s="12" t="s">
        <v>36</v>
      </c>
      <c r="N4" s="12">
        <v>19</v>
      </c>
      <c r="P4" s="12">
        <v>1</v>
      </c>
      <c r="Q4" s="12">
        <v>1</v>
      </c>
      <c r="S4" s="12" t="s">
        <v>29</v>
      </c>
      <c r="T4" s="12" t="s">
        <v>29</v>
      </c>
    </row>
    <row r="5" spans="1:21" s="14" customFormat="1" x14ac:dyDescent="0.25">
      <c r="A5" s="14" t="s">
        <v>676</v>
      </c>
      <c r="B5" s="15" t="s">
        <v>677</v>
      </c>
      <c r="C5" s="14" t="s">
        <v>106</v>
      </c>
      <c r="D5" s="14">
        <v>9</v>
      </c>
      <c r="G5" s="14">
        <v>1</v>
      </c>
      <c r="H5" s="14">
        <v>1</v>
      </c>
      <c r="I5" s="14" t="s">
        <v>676</v>
      </c>
      <c r="J5" s="15" t="s">
        <v>678</v>
      </c>
      <c r="K5" s="14" t="s">
        <v>106</v>
      </c>
      <c r="M5" s="14">
        <v>9</v>
      </c>
      <c r="P5" s="14">
        <v>1</v>
      </c>
      <c r="Q5" s="14">
        <v>1</v>
      </c>
      <c r="S5" s="14" t="s">
        <v>29</v>
      </c>
      <c r="T5" s="14" t="s">
        <v>672</v>
      </c>
    </row>
    <row r="6" spans="1:21" x14ac:dyDescent="0.25">
      <c r="A6" s="12" t="s">
        <v>679</v>
      </c>
      <c r="B6" s="13" t="s">
        <v>349</v>
      </c>
      <c r="C6" s="12" t="s">
        <v>148</v>
      </c>
      <c r="D6" s="12">
        <v>35</v>
      </c>
      <c r="G6" s="12">
        <v>1</v>
      </c>
      <c r="H6" s="12">
        <v>1</v>
      </c>
      <c r="I6" s="12" t="s">
        <v>679</v>
      </c>
      <c r="J6" s="13" t="s">
        <v>349</v>
      </c>
      <c r="K6" s="12" t="s">
        <v>148</v>
      </c>
      <c r="M6" s="12">
        <v>35</v>
      </c>
      <c r="P6" s="12">
        <v>1</v>
      </c>
      <c r="Q6" s="12">
        <v>1</v>
      </c>
      <c r="S6" s="12" t="s">
        <v>29</v>
      </c>
      <c r="T6" s="12" t="s">
        <v>29</v>
      </c>
    </row>
    <row r="7" spans="1:21" x14ac:dyDescent="0.25">
      <c r="A7" s="12" t="s">
        <v>680</v>
      </c>
      <c r="B7" s="13" t="s">
        <v>71</v>
      </c>
      <c r="C7" s="12" t="s">
        <v>117</v>
      </c>
      <c r="D7" s="12">
        <v>140</v>
      </c>
      <c r="G7" s="12">
        <v>1</v>
      </c>
      <c r="H7" s="12">
        <v>1</v>
      </c>
      <c r="I7" s="12" t="s">
        <v>680</v>
      </c>
      <c r="J7" s="13" t="s">
        <v>71</v>
      </c>
      <c r="K7" s="12" t="s">
        <v>117</v>
      </c>
      <c r="M7" s="12">
        <v>140</v>
      </c>
      <c r="P7" s="12">
        <v>1</v>
      </c>
      <c r="Q7" s="12">
        <v>1</v>
      </c>
      <c r="S7" s="12" t="s">
        <v>29</v>
      </c>
      <c r="T7" s="12" t="s">
        <v>681</v>
      </c>
    </row>
    <row r="8" spans="1:21" x14ac:dyDescent="0.25">
      <c r="I8" s="12" t="s">
        <v>682</v>
      </c>
      <c r="J8" s="13" t="s">
        <v>683</v>
      </c>
      <c r="K8" s="12" t="s">
        <v>350</v>
      </c>
      <c r="M8" s="12">
        <v>35</v>
      </c>
      <c r="P8" s="12">
        <v>1</v>
      </c>
      <c r="Q8" s="12">
        <v>1</v>
      </c>
      <c r="R8" s="12" t="s">
        <v>91</v>
      </c>
      <c r="S8" s="12" t="s">
        <v>118</v>
      </c>
      <c r="T8" s="12" t="s">
        <v>684</v>
      </c>
    </row>
    <row r="9" spans="1:21" x14ac:dyDescent="0.25">
      <c r="I9" s="12" t="s">
        <v>685</v>
      </c>
      <c r="J9" s="13" t="s">
        <v>686</v>
      </c>
      <c r="K9" s="12" t="s">
        <v>352</v>
      </c>
      <c r="M9" s="12">
        <v>35</v>
      </c>
      <c r="P9" s="12">
        <v>1</v>
      </c>
      <c r="Q9" s="12">
        <v>1</v>
      </c>
      <c r="R9" s="12" t="s">
        <v>91</v>
      </c>
      <c r="S9" s="12" t="s">
        <v>118</v>
      </c>
      <c r="T9" s="12" t="s">
        <v>684</v>
      </c>
    </row>
    <row r="10" spans="1:21" x14ac:dyDescent="0.25">
      <c r="I10" s="12" t="s">
        <v>687</v>
      </c>
      <c r="J10" s="13" t="s">
        <v>688</v>
      </c>
      <c r="K10" s="12" t="s">
        <v>355</v>
      </c>
      <c r="P10" s="12">
        <v>1</v>
      </c>
      <c r="Q10" s="12">
        <v>1</v>
      </c>
      <c r="R10" s="12" t="s">
        <v>91</v>
      </c>
      <c r="S10" s="12" t="s">
        <v>118</v>
      </c>
      <c r="T10" s="12" t="s">
        <v>684</v>
      </c>
    </row>
    <row r="11" spans="1:21" x14ac:dyDescent="0.25">
      <c r="I11" s="12" t="s">
        <v>689</v>
      </c>
      <c r="J11" s="13" t="s">
        <v>690</v>
      </c>
      <c r="K11" s="12" t="s">
        <v>614</v>
      </c>
      <c r="M11" s="12">
        <v>35</v>
      </c>
      <c r="N11" s="12">
        <v>19</v>
      </c>
      <c r="P11" s="12">
        <v>1</v>
      </c>
      <c r="Q11" s="12">
        <v>1</v>
      </c>
      <c r="R11" s="12" t="s">
        <v>91</v>
      </c>
      <c r="S11" s="12" t="s">
        <v>118</v>
      </c>
      <c r="T11" s="12" t="s">
        <v>684</v>
      </c>
    </row>
    <row r="12" spans="1:21" x14ac:dyDescent="0.25">
      <c r="I12" s="12" t="s">
        <v>691</v>
      </c>
      <c r="J12" s="13" t="s">
        <v>365</v>
      </c>
      <c r="K12" s="12" t="s">
        <v>692</v>
      </c>
      <c r="M12" s="12">
        <v>35</v>
      </c>
      <c r="P12" s="12">
        <v>0</v>
      </c>
      <c r="Q12" s="12">
        <v>1</v>
      </c>
      <c r="R12" s="12" t="s">
        <v>91</v>
      </c>
      <c r="S12" s="12" t="s">
        <v>118</v>
      </c>
      <c r="T12" s="12" t="s">
        <v>684</v>
      </c>
    </row>
    <row r="13" spans="1:21" x14ac:dyDescent="0.25">
      <c r="A13" s="32"/>
      <c r="B13" s="32"/>
      <c r="C13" s="32"/>
      <c r="D13" s="32"/>
      <c r="E13" s="32"/>
      <c r="F13" s="32"/>
      <c r="G13" s="32"/>
      <c r="H13" s="32"/>
      <c r="I13" s="49" t="s">
        <v>693</v>
      </c>
      <c r="J13" s="50" t="s">
        <v>694</v>
      </c>
      <c r="K13" s="49" t="s">
        <v>106</v>
      </c>
      <c r="M13" s="49">
        <v>9</v>
      </c>
      <c r="N13" s="49"/>
      <c r="O13" s="49"/>
      <c r="P13" s="49">
        <v>1</v>
      </c>
      <c r="Q13" s="49">
        <v>1</v>
      </c>
      <c r="R13" s="49" t="s">
        <v>91</v>
      </c>
      <c r="S13" s="49" t="s">
        <v>118</v>
      </c>
      <c r="T13" s="49" t="s">
        <v>695</v>
      </c>
      <c r="U13" s="49"/>
    </row>
    <row r="14" spans="1:21" x14ac:dyDescent="0.25">
      <c r="I14" s="12" t="s">
        <v>696</v>
      </c>
      <c r="J14" s="13" t="s">
        <v>697</v>
      </c>
      <c r="K14" s="12" t="s">
        <v>698</v>
      </c>
      <c r="O14" s="12">
        <v>18</v>
      </c>
      <c r="P14" s="12">
        <v>1</v>
      </c>
      <c r="Q14" s="12">
        <v>1</v>
      </c>
      <c r="R14" s="12" t="s">
        <v>91</v>
      </c>
      <c r="S14" s="12" t="s">
        <v>118</v>
      </c>
      <c r="T14" s="12" t="s">
        <v>684</v>
      </c>
    </row>
    <row r="15" spans="1:21" x14ac:dyDescent="0.25">
      <c r="I15" s="12" t="s">
        <v>699</v>
      </c>
      <c r="J15" s="13" t="s">
        <v>700</v>
      </c>
      <c r="K15" s="12" t="s">
        <v>54</v>
      </c>
      <c r="N15" s="12">
        <v>3</v>
      </c>
      <c r="R15" s="12" t="s">
        <v>91</v>
      </c>
      <c r="S15" s="12" t="s">
        <v>118</v>
      </c>
      <c r="T15" s="12" t="s">
        <v>684</v>
      </c>
    </row>
    <row r="16" spans="1:21" x14ac:dyDescent="0.25">
      <c r="I16" s="12" t="s">
        <v>701</v>
      </c>
      <c r="J16" s="13" t="s">
        <v>702</v>
      </c>
      <c r="K16" s="12" t="s">
        <v>417</v>
      </c>
      <c r="N16" s="12">
        <v>10</v>
      </c>
      <c r="P16" s="12">
        <v>1</v>
      </c>
      <c r="Q16" s="12">
        <v>1</v>
      </c>
      <c r="R16" s="12" t="s">
        <v>91</v>
      </c>
      <c r="S16" s="12" t="s">
        <v>118</v>
      </c>
      <c r="T16" s="12" t="s">
        <v>684</v>
      </c>
    </row>
    <row r="17" spans="1:20" x14ac:dyDescent="0.25">
      <c r="I17" s="12" t="s">
        <v>703</v>
      </c>
      <c r="J17" s="13" t="s">
        <v>704</v>
      </c>
      <c r="K17" s="12" t="s">
        <v>420</v>
      </c>
      <c r="N17" s="12">
        <v>19</v>
      </c>
      <c r="P17" s="12">
        <v>1</v>
      </c>
      <c r="Q17" s="12">
        <v>1</v>
      </c>
      <c r="R17" s="12" t="s">
        <v>91</v>
      </c>
      <c r="S17" s="12" t="s">
        <v>118</v>
      </c>
      <c r="T17" s="12" t="s">
        <v>684</v>
      </c>
    </row>
    <row r="18" spans="1:20" x14ac:dyDescent="0.25">
      <c r="A18" s="12" t="s">
        <v>705</v>
      </c>
      <c r="B18" s="13" t="s">
        <v>706</v>
      </c>
      <c r="C18" s="12" t="s">
        <v>350</v>
      </c>
      <c r="D18" s="12">
        <v>35</v>
      </c>
      <c r="G18" s="12">
        <v>1</v>
      </c>
      <c r="H18" s="12">
        <v>1</v>
      </c>
      <c r="I18" s="12" t="s">
        <v>705</v>
      </c>
      <c r="J18" s="13" t="s">
        <v>707</v>
      </c>
      <c r="K18" s="12" t="s">
        <v>350</v>
      </c>
      <c r="M18" s="12">
        <v>35</v>
      </c>
      <c r="P18" s="12">
        <v>1</v>
      </c>
      <c r="Q18" s="12">
        <v>1</v>
      </c>
      <c r="S18" s="12" t="s">
        <v>29</v>
      </c>
      <c r="T18" s="12" t="s">
        <v>29</v>
      </c>
    </row>
    <row r="19" spans="1:20" x14ac:dyDescent="0.25">
      <c r="A19" s="12" t="s">
        <v>708</v>
      </c>
      <c r="B19" s="13" t="s">
        <v>709</v>
      </c>
      <c r="C19" s="12" t="s">
        <v>352</v>
      </c>
      <c r="D19" s="12">
        <v>35</v>
      </c>
      <c r="G19" s="12">
        <v>1</v>
      </c>
      <c r="H19" s="12">
        <v>1</v>
      </c>
      <c r="I19" s="12" t="s">
        <v>708</v>
      </c>
      <c r="J19" s="13" t="s">
        <v>710</v>
      </c>
      <c r="K19" s="12" t="s">
        <v>352</v>
      </c>
      <c r="M19" s="12">
        <v>35</v>
      </c>
      <c r="P19" s="12">
        <v>1</v>
      </c>
      <c r="Q19" s="12">
        <v>1</v>
      </c>
      <c r="S19" s="12" t="s">
        <v>29</v>
      </c>
      <c r="T19" s="12" t="s">
        <v>711</v>
      </c>
    </row>
    <row r="20" spans="1:20" x14ac:dyDescent="0.25">
      <c r="A20" s="12" t="s">
        <v>712</v>
      </c>
      <c r="B20" s="13" t="s">
        <v>713</v>
      </c>
      <c r="C20" s="12" t="s">
        <v>355</v>
      </c>
      <c r="E20" s="12">
        <v>19</v>
      </c>
      <c r="G20" s="12">
        <v>1</v>
      </c>
      <c r="H20" s="12">
        <v>1</v>
      </c>
      <c r="I20" s="12" t="s">
        <v>712</v>
      </c>
      <c r="J20" s="13" t="s">
        <v>714</v>
      </c>
      <c r="K20" s="12" t="s">
        <v>355</v>
      </c>
      <c r="N20" s="12">
        <v>19</v>
      </c>
      <c r="P20" s="12">
        <v>1</v>
      </c>
      <c r="Q20" s="12">
        <v>1</v>
      </c>
      <c r="S20" s="12" t="s">
        <v>29</v>
      </c>
      <c r="T20" s="12" t="s">
        <v>29</v>
      </c>
    </row>
    <row r="21" spans="1:20" x14ac:dyDescent="0.25">
      <c r="A21" s="12" t="s">
        <v>715</v>
      </c>
      <c r="B21" s="13" t="s">
        <v>716</v>
      </c>
      <c r="C21" s="12" t="s">
        <v>360</v>
      </c>
      <c r="D21" s="12">
        <v>35</v>
      </c>
      <c r="G21" s="12">
        <v>1</v>
      </c>
      <c r="H21" s="12">
        <v>1</v>
      </c>
      <c r="I21" s="12" t="s">
        <v>715</v>
      </c>
      <c r="J21" s="13" t="s">
        <v>717</v>
      </c>
      <c r="K21" s="12" t="s">
        <v>360</v>
      </c>
      <c r="M21" s="12">
        <v>35</v>
      </c>
      <c r="P21" s="12">
        <v>1</v>
      </c>
      <c r="Q21" s="12">
        <v>1</v>
      </c>
      <c r="S21" s="12" t="s">
        <v>29</v>
      </c>
      <c r="T21" s="12" t="s">
        <v>29</v>
      </c>
    </row>
    <row r="22" spans="1:20" x14ac:dyDescent="0.25">
      <c r="A22" s="12" t="s">
        <v>718</v>
      </c>
      <c r="B22" s="13" t="s">
        <v>719</v>
      </c>
      <c r="C22" s="12" t="s">
        <v>692</v>
      </c>
      <c r="D22" s="12">
        <v>35</v>
      </c>
      <c r="G22" s="12">
        <v>0</v>
      </c>
      <c r="H22" s="12">
        <v>1</v>
      </c>
      <c r="I22" s="12" t="s">
        <v>718</v>
      </c>
      <c r="J22" s="13" t="s">
        <v>720</v>
      </c>
      <c r="K22" s="12" t="s">
        <v>692</v>
      </c>
      <c r="M22" s="12">
        <v>35</v>
      </c>
      <c r="P22" s="12">
        <v>0</v>
      </c>
      <c r="Q22" s="12">
        <v>1</v>
      </c>
      <c r="S22" s="12" t="s">
        <v>29</v>
      </c>
      <c r="T22" s="12" t="s">
        <v>29</v>
      </c>
    </row>
    <row r="23" spans="1:20" x14ac:dyDescent="0.25">
      <c r="A23" s="12" t="s">
        <v>721</v>
      </c>
      <c r="B23" s="13" t="s">
        <v>722</v>
      </c>
      <c r="C23" s="12" t="s">
        <v>363</v>
      </c>
      <c r="D23" s="12">
        <v>35</v>
      </c>
      <c r="G23" s="12">
        <v>1</v>
      </c>
      <c r="H23" s="12">
        <v>1</v>
      </c>
      <c r="I23" s="12" t="s">
        <v>721</v>
      </c>
      <c r="J23" s="13" t="s">
        <v>723</v>
      </c>
      <c r="K23" s="12" t="s">
        <v>363</v>
      </c>
      <c r="M23" s="12">
        <v>35</v>
      </c>
      <c r="P23" s="12">
        <v>1</v>
      </c>
      <c r="Q23" s="12">
        <v>1</v>
      </c>
      <c r="S23" s="12" t="s">
        <v>29</v>
      </c>
      <c r="T23" s="12" t="s">
        <v>29</v>
      </c>
    </row>
    <row r="24" spans="1:20" x14ac:dyDescent="0.25">
      <c r="A24" s="12" t="s">
        <v>724</v>
      </c>
      <c r="B24" s="13" t="s">
        <v>725</v>
      </c>
      <c r="C24" s="12" t="s">
        <v>726</v>
      </c>
      <c r="F24" s="12">
        <v>18</v>
      </c>
      <c r="G24" s="12">
        <v>1</v>
      </c>
      <c r="H24" s="12">
        <v>1</v>
      </c>
      <c r="I24" s="12" t="s">
        <v>724</v>
      </c>
      <c r="J24" s="13" t="s">
        <v>727</v>
      </c>
      <c r="K24" s="12" t="s">
        <v>726</v>
      </c>
      <c r="O24" s="12">
        <v>18</v>
      </c>
      <c r="P24" s="12">
        <v>1</v>
      </c>
      <c r="Q24" s="12">
        <v>1</v>
      </c>
      <c r="S24" s="12" t="s">
        <v>29</v>
      </c>
      <c r="T24" s="12" t="s">
        <v>29</v>
      </c>
    </row>
    <row r="25" spans="1:20" x14ac:dyDescent="0.25">
      <c r="A25" s="12" t="s">
        <v>728</v>
      </c>
      <c r="B25" s="13" t="s">
        <v>729</v>
      </c>
      <c r="C25" s="12" t="s">
        <v>54</v>
      </c>
      <c r="D25" s="12">
        <v>3</v>
      </c>
      <c r="I25" s="12" t="s">
        <v>728</v>
      </c>
      <c r="J25" s="13" t="s">
        <v>730</v>
      </c>
      <c r="K25" s="12" t="s">
        <v>54</v>
      </c>
      <c r="N25" s="12">
        <v>3</v>
      </c>
      <c r="S25" s="12" t="s">
        <v>29</v>
      </c>
      <c r="T25" s="12" t="s">
        <v>29</v>
      </c>
    </row>
    <row r="26" spans="1:20" x14ac:dyDescent="0.25">
      <c r="A26" s="12" t="s">
        <v>731</v>
      </c>
      <c r="B26" s="13" t="s">
        <v>732</v>
      </c>
      <c r="C26" s="12" t="s">
        <v>733</v>
      </c>
      <c r="E26" s="12">
        <v>10</v>
      </c>
      <c r="G26" s="12">
        <v>1</v>
      </c>
      <c r="H26" s="12">
        <v>1</v>
      </c>
      <c r="I26" s="12" t="s">
        <v>731</v>
      </c>
      <c r="J26" s="13" t="s">
        <v>734</v>
      </c>
      <c r="K26" s="12" t="s">
        <v>733</v>
      </c>
      <c r="N26" s="12">
        <v>10</v>
      </c>
      <c r="P26" s="12">
        <v>1</v>
      </c>
      <c r="Q26" s="12">
        <v>1</v>
      </c>
      <c r="S26" s="12" t="s">
        <v>29</v>
      </c>
      <c r="T26" s="12" t="s">
        <v>29</v>
      </c>
    </row>
    <row r="27" spans="1:20" x14ac:dyDescent="0.25">
      <c r="A27" s="12" t="s">
        <v>735</v>
      </c>
      <c r="B27" s="13" t="s">
        <v>736</v>
      </c>
      <c r="C27" s="12" t="s">
        <v>40</v>
      </c>
      <c r="G27" s="12">
        <v>1</v>
      </c>
      <c r="H27" s="12">
        <v>1</v>
      </c>
      <c r="I27" s="12" t="s">
        <v>735</v>
      </c>
      <c r="J27" s="13" t="s">
        <v>736</v>
      </c>
      <c r="K27" s="12" t="s">
        <v>40</v>
      </c>
      <c r="N27" s="12">
        <v>4</v>
      </c>
      <c r="P27" s="12">
        <v>1</v>
      </c>
      <c r="Q27" s="12">
        <v>1</v>
      </c>
      <c r="S27" s="12" t="s">
        <v>29</v>
      </c>
      <c r="T27" s="12" t="s">
        <v>29</v>
      </c>
    </row>
    <row r="28" spans="1:20" x14ac:dyDescent="0.25">
      <c r="A28" s="12" t="s">
        <v>737</v>
      </c>
      <c r="B28" s="13" t="s">
        <v>738</v>
      </c>
      <c r="C28" s="12" t="s">
        <v>739</v>
      </c>
      <c r="D28" s="12">
        <v>140</v>
      </c>
      <c r="G28" s="12">
        <v>0</v>
      </c>
      <c r="H28" s="12">
        <v>1</v>
      </c>
      <c r="I28" s="12" t="s">
        <v>737</v>
      </c>
      <c r="J28" s="13" t="s">
        <v>738</v>
      </c>
      <c r="K28" s="12" t="s">
        <v>739</v>
      </c>
      <c r="M28" s="12">
        <v>140</v>
      </c>
      <c r="P28" s="12">
        <v>0</v>
      </c>
      <c r="Q28" s="12">
        <v>1</v>
      </c>
      <c r="S28" s="12" t="s">
        <v>29</v>
      </c>
      <c r="T28" s="12" t="s">
        <v>29</v>
      </c>
    </row>
    <row r="29" spans="1:20" x14ac:dyDescent="0.25">
      <c r="A29" s="12" t="s">
        <v>740</v>
      </c>
      <c r="B29" s="13" t="s">
        <v>741</v>
      </c>
      <c r="C29" s="12" t="s">
        <v>40</v>
      </c>
      <c r="G29" s="12">
        <v>1</v>
      </c>
      <c r="H29" s="12">
        <v>1</v>
      </c>
      <c r="I29" s="12" t="s">
        <v>740</v>
      </c>
      <c r="J29" s="13" t="s">
        <v>741</v>
      </c>
      <c r="K29" s="12" t="s">
        <v>40</v>
      </c>
      <c r="N29" s="12">
        <v>4</v>
      </c>
      <c r="P29" s="12">
        <v>1</v>
      </c>
      <c r="Q29" s="12">
        <v>1</v>
      </c>
      <c r="S29" s="12" t="s">
        <v>29</v>
      </c>
      <c r="T29" s="12" t="s">
        <v>742</v>
      </c>
    </row>
    <row r="30" spans="1:20" x14ac:dyDescent="0.25">
      <c r="A30" s="12" t="s">
        <v>743</v>
      </c>
      <c r="B30" s="13" t="s">
        <v>744</v>
      </c>
      <c r="C30" s="12" t="s">
        <v>745</v>
      </c>
      <c r="D30" s="12">
        <v>140</v>
      </c>
      <c r="G30" s="12">
        <v>0</v>
      </c>
      <c r="H30" s="12">
        <v>1</v>
      </c>
      <c r="I30" s="12" t="s">
        <v>743</v>
      </c>
      <c r="J30" s="13" t="s">
        <v>744</v>
      </c>
      <c r="K30" s="12" t="s">
        <v>745</v>
      </c>
      <c r="M30" s="12">
        <v>140</v>
      </c>
      <c r="P30" s="12">
        <v>0</v>
      </c>
      <c r="Q30" s="12">
        <v>1</v>
      </c>
      <c r="S30" s="12" t="s">
        <v>29</v>
      </c>
      <c r="T30" s="12" t="s">
        <v>29</v>
      </c>
    </row>
    <row r="31" spans="1:20" x14ac:dyDescent="0.25">
      <c r="B31" s="13"/>
      <c r="J31" s="13"/>
    </row>
    <row r="32" spans="1:20" ht="4.5" customHeight="1" x14ac:dyDescent="0.25"/>
    <row r="33" spans="1:11" x14ac:dyDescent="0.25">
      <c r="A33" s="11" t="s">
        <v>746</v>
      </c>
      <c r="B33" s="11" t="s">
        <v>747</v>
      </c>
      <c r="I33" s="11" t="s">
        <v>19</v>
      </c>
      <c r="J33" s="11" t="s">
        <v>747</v>
      </c>
    </row>
    <row r="34" spans="1:11" x14ac:dyDescent="0.25">
      <c r="I34" s="12" t="s">
        <v>748</v>
      </c>
      <c r="J34" s="12" t="s">
        <v>749</v>
      </c>
    </row>
    <row r="35" spans="1:11" x14ac:dyDescent="0.25">
      <c r="I35" s="12" t="s">
        <v>750</v>
      </c>
      <c r="J35" s="12" t="s">
        <v>751</v>
      </c>
    </row>
    <row r="36" spans="1:11" x14ac:dyDescent="0.25">
      <c r="A36" s="12" t="s">
        <v>752</v>
      </c>
      <c r="B36" s="12" t="s">
        <v>753</v>
      </c>
      <c r="I36" s="12" t="s">
        <v>752</v>
      </c>
      <c r="J36" s="12" t="s">
        <v>754</v>
      </c>
    </row>
    <row r="37" spans="1:11" x14ac:dyDescent="0.25">
      <c r="A37" s="12" t="s">
        <v>755</v>
      </c>
      <c r="B37" s="12" t="s">
        <v>751</v>
      </c>
      <c r="I37" s="12" t="s">
        <v>755</v>
      </c>
      <c r="J37" s="12" t="s">
        <v>751</v>
      </c>
    </row>
    <row r="38" spans="1:11" x14ac:dyDescent="0.25">
      <c r="A38" s="12" t="s">
        <v>756</v>
      </c>
      <c r="B38" s="12" t="s">
        <v>757</v>
      </c>
      <c r="I38" s="12" t="s">
        <v>756</v>
      </c>
      <c r="J38" s="12" t="s">
        <v>757</v>
      </c>
    </row>
    <row r="39" spans="1:11" x14ac:dyDescent="0.25">
      <c r="B39" s="12" t="s">
        <v>758</v>
      </c>
      <c r="J39" s="12" t="s">
        <v>758</v>
      </c>
    </row>
    <row r="40" spans="1:11" x14ac:dyDescent="0.25">
      <c r="A40" s="12" t="s">
        <v>759</v>
      </c>
      <c r="B40" s="12" t="s">
        <v>760</v>
      </c>
      <c r="I40" s="12" t="s">
        <v>759</v>
      </c>
      <c r="J40" s="12" t="s">
        <v>760</v>
      </c>
    </row>
    <row r="41" spans="1:11" x14ac:dyDescent="0.25">
      <c r="B41" s="12" t="s">
        <v>761</v>
      </c>
      <c r="J41" s="12" t="s">
        <v>762</v>
      </c>
      <c r="K41" s="12" t="s">
        <v>763</v>
      </c>
    </row>
    <row r="42" spans="1:11" x14ac:dyDescent="0.25">
      <c r="B42" s="12" t="s">
        <v>764</v>
      </c>
      <c r="J42" s="12" t="s">
        <v>761</v>
      </c>
    </row>
    <row r="43" spans="1:11" x14ac:dyDescent="0.25">
      <c r="B43" s="12" t="s">
        <v>765</v>
      </c>
      <c r="J43" s="12" t="s">
        <v>764</v>
      </c>
    </row>
    <row r="44" spans="1:11" x14ac:dyDescent="0.25">
      <c r="B44" s="12" t="s">
        <v>766</v>
      </c>
      <c r="J44" s="12" t="s">
        <v>767</v>
      </c>
      <c r="K44" s="12" t="s">
        <v>768</v>
      </c>
    </row>
    <row r="45" spans="1:11" x14ac:dyDescent="0.25">
      <c r="B45" s="12" t="s">
        <v>769</v>
      </c>
      <c r="J45" s="12" t="s">
        <v>765</v>
      </c>
    </row>
    <row r="46" spans="1:11" x14ac:dyDescent="0.25">
      <c r="B46" s="12" t="s">
        <v>770</v>
      </c>
      <c r="J46" s="12" t="s">
        <v>766</v>
      </c>
    </row>
    <row r="47" spans="1:11" x14ac:dyDescent="0.25">
      <c r="B47" s="12" t="s">
        <v>758</v>
      </c>
      <c r="J47" s="12" t="s">
        <v>769</v>
      </c>
    </row>
    <row r="48" spans="1:11" x14ac:dyDescent="0.25">
      <c r="J48" s="12" t="s">
        <v>770</v>
      </c>
    </row>
    <row r="49" spans="10:10" x14ac:dyDescent="0.25">
      <c r="J49" s="12" t="s">
        <v>758</v>
      </c>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T76"/>
  <sheetViews>
    <sheetView topLeftCell="B1" zoomScale="75" zoomScaleNormal="75" workbookViewId="0">
      <pane ySplit="1" topLeftCell="A36" activePane="bottomLeft" state="frozen"/>
      <selection activeCell="K1" sqref="K1"/>
      <selection pane="bottomLeft" activeCell="I36" sqref="I36"/>
    </sheetView>
  </sheetViews>
  <sheetFormatPr defaultRowHeight="15" x14ac:dyDescent="0.25"/>
  <cols>
    <col min="1" max="1" width="64" customWidth="1"/>
    <col min="2" max="2" width="8.5703125" customWidth="1"/>
    <col min="3" max="4" width="9.140625" customWidth="1"/>
    <col min="5" max="5" width="10.140625" customWidth="1"/>
    <col min="6" max="6" width="7.42578125" customWidth="1"/>
    <col min="7" max="7" width="7.28515625" customWidth="1"/>
    <col min="8" max="8" width="7.5703125" customWidth="1"/>
    <col min="9" max="9" width="56" customWidth="1"/>
    <col min="10" max="11" width="8.5703125" customWidth="1"/>
    <col min="12" max="12" width="11.5703125" hidden="1"/>
    <col min="13" max="13" width="8.5703125" customWidth="1"/>
    <col min="14" max="14" width="10" customWidth="1"/>
    <col min="15" max="15" width="7.5703125" customWidth="1"/>
    <col min="16" max="17" width="6.7109375" customWidth="1"/>
    <col min="18" max="18" width="16.7109375" customWidth="1"/>
    <col min="19" max="19" width="43.7109375" customWidth="1"/>
    <col min="20" max="20" width="74.42578125" customWidth="1"/>
    <col min="21" max="1025" width="8.5703125" customWidth="1"/>
  </cols>
  <sheetData>
    <row r="1" spans="1:20"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23</v>
      </c>
      <c r="T1" s="11" t="s">
        <v>24</v>
      </c>
    </row>
    <row r="2" spans="1:20" hidden="1" x14ac:dyDescent="0.25">
      <c r="A2" s="12" t="s">
        <v>771</v>
      </c>
      <c r="B2" s="13" t="s">
        <v>26</v>
      </c>
      <c r="C2" s="12" t="s">
        <v>148</v>
      </c>
      <c r="D2" s="12">
        <v>35</v>
      </c>
      <c r="E2" s="12"/>
      <c r="F2" s="12"/>
      <c r="G2" s="12">
        <v>1</v>
      </c>
      <c r="H2" s="12">
        <v>1</v>
      </c>
      <c r="I2" s="12" t="s">
        <v>771</v>
      </c>
      <c r="J2" s="13" t="s">
        <v>26</v>
      </c>
      <c r="K2" s="12" t="s">
        <v>148</v>
      </c>
      <c r="L2" s="12"/>
      <c r="M2" s="12">
        <v>35</v>
      </c>
      <c r="N2" s="12"/>
      <c r="O2" s="12"/>
      <c r="P2" s="12">
        <v>1</v>
      </c>
      <c r="Q2" s="12">
        <v>1</v>
      </c>
      <c r="R2" s="12"/>
      <c r="S2" s="12" t="s">
        <v>29</v>
      </c>
      <c r="T2" s="12" t="s">
        <v>29</v>
      </c>
    </row>
    <row r="3" spans="1:20" s="14" customFormat="1" hidden="1" x14ac:dyDescent="0.25">
      <c r="A3" s="14" t="s">
        <v>772</v>
      </c>
      <c r="B3" s="15" t="s">
        <v>670</v>
      </c>
      <c r="C3" s="14" t="s">
        <v>106</v>
      </c>
      <c r="D3" s="14">
        <v>9</v>
      </c>
      <c r="G3" s="14">
        <v>1</v>
      </c>
      <c r="H3" s="14">
        <v>1</v>
      </c>
      <c r="I3" s="14" t="s">
        <v>772</v>
      </c>
      <c r="J3" s="15" t="s">
        <v>671</v>
      </c>
      <c r="K3" s="14" t="s">
        <v>106</v>
      </c>
      <c r="M3" s="14">
        <v>9</v>
      </c>
      <c r="P3" s="14">
        <v>1</v>
      </c>
      <c r="Q3" s="14">
        <v>1</v>
      </c>
      <c r="S3" s="14" t="s">
        <v>29</v>
      </c>
      <c r="T3" s="14" t="s">
        <v>773</v>
      </c>
    </row>
    <row r="4" spans="1:20" s="14" customFormat="1" hidden="1" x14ac:dyDescent="0.25">
      <c r="A4" s="14" t="s">
        <v>774</v>
      </c>
      <c r="B4" s="15" t="s">
        <v>674</v>
      </c>
      <c r="C4" s="14" t="s">
        <v>36</v>
      </c>
      <c r="E4" s="14">
        <v>19</v>
      </c>
      <c r="G4" s="14">
        <v>1</v>
      </c>
      <c r="H4" s="14">
        <v>1</v>
      </c>
      <c r="I4" s="14" t="s">
        <v>774</v>
      </c>
      <c r="J4" s="15" t="s">
        <v>675</v>
      </c>
      <c r="K4" s="14" t="s">
        <v>36</v>
      </c>
      <c r="N4" s="14">
        <v>19</v>
      </c>
      <c r="P4" s="14">
        <v>1</v>
      </c>
      <c r="Q4" s="14">
        <v>1</v>
      </c>
      <c r="S4" s="14" t="s">
        <v>29</v>
      </c>
      <c r="T4" s="14" t="s">
        <v>29</v>
      </c>
    </row>
    <row r="5" spans="1:20" s="14" customFormat="1" hidden="1" x14ac:dyDescent="0.25">
      <c r="A5" s="14" t="s">
        <v>775</v>
      </c>
      <c r="B5" s="15" t="s">
        <v>677</v>
      </c>
      <c r="C5" s="14" t="s">
        <v>106</v>
      </c>
      <c r="D5" s="14">
        <v>9</v>
      </c>
      <c r="G5" s="14">
        <v>1</v>
      </c>
      <c r="H5" s="14">
        <v>1</v>
      </c>
      <c r="I5" s="14" t="s">
        <v>775</v>
      </c>
      <c r="J5" s="15" t="s">
        <v>678</v>
      </c>
      <c r="K5" s="14" t="s">
        <v>106</v>
      </c>
      <c r="M5" s="14">
        <v>9</v>
      </c>
      <c r="P5" s="14">
        <v>1</v>
      </c>
      <c r="Q5" s="14">
        <v>1</v>
      </c>
      <c r="S5" s="14" t="s">
        <v>29</v>
      </c>
      <c r="T5" s="14" t="s">
        <v>773</v>
      </c>
    </row>
    <row r="6" spans="1:20" hidden="1" x14ac:dyDescent="0.25">
      <c r="A6" s="12" t="s">
        <v>776</v>
      </c>
      <c r="B6" s="13" t="s">
        <v>349</v>
      </c>
      <c r="C6" s="12" t="s">
        <v>148</v>
      </c>
      <c r="D6" s="12">
        <v>35</v>
      </c>
      <c r="E6" s="12"/>
      <c r="F6" s="12"/>
      <c r="G6" s="12">
        <v>1</v>
      </c>
      <c r="H6" s="12">
        <v>1</v>
      </c>
      <c r="I6" s="12" t="s">
        <v>776</v>
      </c>
      <c r="J6" s="13" t="s">
        <v>349</v>
      </c>
      <c r="K6" s="12" t="s">
        <v>148</v>
      </c>
      <c r="L6" s="12"/>
      <c r="M6" s="12">
        <v>35</v>
      </c>
      <c r="N6" s="12"/>
      <c r="O6" s="12"/>
      <c r="P6" s="12">
        <v>1</v>
      </c>
      <c r="Q6" s="12">
        <v>1</v>
      </c>
      <c r="R6" s="12"/>
      <c r="S6" s="12" t="s">
        <v>29</v>
      </c>
      <c r="T6" s="12" t="s">
        <v>29</v>
      </c>
    </row>
    <row r="7" spans="1:20" hidden="1" x14ac:dyDescent="0.25">
      <c r="A7" s="12" t="s">
        <v>777</v>
      </c>
      <c r="B7" s="13" t="s">
        <v>71</v>
      </c>
      <c r="C7" s="12" t="s">
        <v>117</v>
      </c>
      <c r="D7" s="12">
        <v>140</v>
      </c>
      <c r="E7" s="12"/>
      <c r="F7" s="12"/>
      <c r="G7" s="12">
        <v>1</v>
      </c>
      <c r="H7" s="12">
        <v>1</v>
      </c>
      <c r="I7" s="12" t="s">
        <v>777</v>
      </c>
      <c r="J7" s="13" t="s">
        <v>71</v>
      </c>
      <c r="K7" s="12" t="s">
        <v>117</v>
      </c>
      <c r="L7" s="12"/>
      <c r="M7" s="12">
        <v>140</v>
      </c>
      <c r="N7" s="12"/>
      <c r="O7" s="12"/>
      <c r="P7" s="12">
        <v>1</v>
      </c>
      <c r="Q7" s="12">
        <v>1</v>
      </c>
      <c r="R7" s="12"/>
      <c r="S7" s="12" t="s">
        <v>29</v>
      </c>
      <c r="T7" s="12" t="s">
        <v>29</v>
      </c>
    </row>
    <row r="8" spans="1:20" s="49" customFormat="1" hidden="1" x14ac:dyDescent="0.25">
      <c r="I8" s="49" t="s">
        <v>778</v>
      </c>
      <c r="J8" s="50" t="s">
        <v>694</v>
      </c>
      <c r="K8" s="49" t="s">
        <v>106</v>
      </c>
      <c r="L8" s="12"/>
      <c r="M8" s="49">
        <v>9</v>
      </c>
      <c r="P8" s="49">
        <v>1</v>
      </c>
      <c r="Q8" s="49">
        <v>1</v>
      </c>
      <c r="R8" s="49" t="s">
        <v>91</v>
      </c>
      <c r="S8" s="49" t="s">
        <v>118</v>
      </c>
      <c r="T8" s="49" t="s">
        <v>779</v>
      </c>
    </row>
    <row r="9" spans="1:20" hidden="1" x14ac:dyDescent="0.25">
      <c r="A9" s="12"/>
      <c r="B9" s="12"/>
      <c r="C9" s="12"/>
      <c r="D9" s="12"/>
      <c r="E9" s="12"/>
      <c r="F9" s="12"/>
      <c r="G9" s="12"/>
      <c r="H9" s="12"/>
      <c r="I9" s="12" t="s">
        <v>780</v>
      </c>
      <c r="J9" s="13" t="s">
        <v>683</v>
      </c>
      <c r="K9" s="12" t="s">
        <v>350</v>
      </c>
      <c r="L9" s="12"/>
      <c r="M9" s="12">
        <v>35</v>
      </c>
      <c r="N9" s="12"/>
      <c r="O9" s="12"/>
      <c r="P9" s="12">
        <v>1</v>
      </c>
      <c r="Q9" s="12">
        <v>1</v>
      </c>
      <c r="R9" s="12" t="s">
        <v>91</v>
      </c>
      <c r="S9" s="12" t="s">
        <v>118</v>
      </c>
      <c r="T9" s="12" t="s">
        <v>779</v>
      </c>
    </row>
    <row r="10" spans="1:20" hidden="1" x14ac:dyDescent="0.25">
      <c r="A10" s="12"/>
      <c r="B10" s="12"/>
      <c r="C10" s="12"/>
      <c r="D10" s="12"/>
      <c r="E10" s="12"/>
      <c r="F10" s="12"/>
      <c r="G10" s="12"/>
      <c r="H10" s="12"/>
      <c r="I10" s="12" t="s">
        <v>781</v>
      </c>
      <c r="J10" s="13" t="s">
        <v>686</v>
      </c>
      <c r="K10" s="12" t="s">
        <v>352</v>
      </c>
      <c r="L10" s="12"/>
      <c r="M10" s="12">
        <v>35</v>
      </c>
      <c r="N10" s="12"/>
      <c r="O10" s="12"/>
      <c r="P10" s="12">
        <v>1</v>
      </c>
      <c r="Q10" s="12">
        <v>1</v>
      </c>
      <c r="R10" s="12" t="s">
        <v>91</v>
      </c>
      <c r="S10" s="12" t="s">
        <v>118</v>
      </c>
      <c r="T10" s="12" t="s">
        <v>779</v>
      </c>
    </row>
    <row r="11" spans="1:20" hidden="1" x14ac:dyDescent="0.25">
      <c r="A11" s="12"/>
      <c r="B11" s="12"/>
      <c r="C11" s="12"/>
      <c r="D11" s="12"/>
      <c r="E11" s="12"/>
      <c r="F11" s="12"/>
      <c r="G11" s="12"/>
      <c r="H11" s="12"/>
      <c r="I11" s="12" t="s">
        <v>782</v>
      </c>
      <c r="J11" s="13" t="s">
        <v>690</v>
      </c>
      <c r="K11" s="12" t="s">
        <v>614</v>
      </c>
      <c r="L11" s="12"/>
      <c r="M11" s="12">
        <v>35</v>
      </c>
      <c r="N11" s="12"/>
      <c r="O11" s="12"/>
      <c r="P11" s="12">
        <v>1</v>
      </c>
      <c r="Q11" s="12">
        <v>1</v>
      </c>
      <c r="R11" s="12" t="s">
        <v>91</v>
      </c>
      <c r="S11" s="12" t="s">
        <v>118</v>
      </c>
      <c r="T11" s="12" t="s">
        <v>779</v>
      </c>
    </row>
    <row r="12" spans="1:20" hidden="1" x14ac:dyDescent="0.25">
      <c r="A12" s="12"/>
      <c r="B12" s="12"/>
      <c r="C12" s="12"/>
      <c r="D12" s="12"/>
      <c r="E12" s="12"/>
      <c r="F12" s="12"/>
      <c r="G12" s="12"/>
      <c r="H12" s="12"/>
      <c r="I12" s="12" t="s">
        <v>783</v>
      </c>
      <c r="J12" s="13" t="s">
        <v>365</v>
      </c>
      <c r="K12" s="12" t="s">
        <v>692</v>
      </c>
      <c r="L12" s="12"/>
      <c r="M12" s="12">
        <v>35</v>
      </c>
      <c r="N12" s="12"/>
      <c r="O12" s="12"/>
      <c r="P12" s="12">
        <v>0</v>
      </c>
      <c r="Q12" s="12">
        <v>1</v>
      </c>
      <c r="R12" s="12" t="s">
        <v>91</v>
      </c>
      <c r="S12" s="12" t="s">
        <v>118</v>
      </c>
      <c r="T12" s="12" t="s">
        <v>779</v>
      </c>
    </row>
    <row r="13" spans="1:20" hidden="1" x14ac:dyDescent="0.25">
      <c r="A13" s="12"/>
      <c r="B13" s="12"/>
      <c r="C13" s="12"/>
      <c r="D13" s="12"/>
      <c r="E13" s="12"/>
      <c r="F13" s="12"/>
      <c r="G13" s="12"/>
      <c r="H13" s="12"/>
      <c r="I13" s="12" t="s">
        <v>784</v>
      </c>
      <c r="J13" s="13" t="s">
        <v>697</v>
      </c>
      <c r="K13" s="12" t="s">
        <v>698</v>
      </c>
      <c r="L13" s="12"/>
      <c r="M13" s="12"/>
      <c r="N13" s="12"/>
      <c r="O13" s="12">
        <v>18</v>
      </c>
      <c r="P13" s="12">
        <v>1</v>
      </c>
      <c r="Q13" s="12">
        <v>1</v>
      </c>
      <c r="R13" s="12" t="s">
        <v>91</v>
      </c>
      <c r="S13" s="12" t="s">
        <v>118</v>
      </c>
      <c r="T13" s="12" t="s">
        <v>779</v>
      </c>
    </row>
    <row r="14" spans="1:20" hidden="1" x14ac:dyDescent="0.25">
      <c r="A14" s="12"/>
      <c r="B14" s="12"/>
      <c r="C14" s="12"/>
      <c r="D14" s="12"/>
      <c r="E14" s="12"/>
      <c r="F14" s="12"/>
      <c r="G14" s="12"/>
      <c r="H14" s="12"/>
      <c r="I14" s="12" t="s">
        <v>785</v>
      </c>
      <c r="J14" s="13" t="s">
        <v>700</v>
      </c>
      <c r="K14" s="12" t="s">
        <v>54</v>
      </c>
      <c r="L14" s="12"/>
      <c r="M14" s="12"/>
      <c r="N14" s="12">
        <v>3</v>
      </c>
      <c r="O14" s="12"/>
      <c r="P14" s="12"/>
      <c r="Q14" s="12"/>
      <c r="R14" s="12" t="s">
        <v>91</v>
      </c>
      <c r="S14" s="12" t="s">
        <v>118</v>
      </c>
      <c r="T14" s="12" t="s">
        <v>779</v>
      </c>
    </row>
    <row r="15" spans="1:20" hidden="1" x14ac:dyDescent="0.25">
      <c r="A15" s="12"/>
      <c r="B15" s="12"/>
      <c r="C15" s="12"/>
      <c r="D15" s="12"/>
      <c r="E15" s="12"/>
      <c r="F15" s="12"/>
      <c r="G15" s="12"/>
      <c r="H15" s="12"/>
      <c r="I15" s="12" t="s">
        <v>786</v>
      </c>
      <c r="J15" s="13" t="s">
        <v>702</v>
      </c>
      <c r="K15" s="12" t="s">
        <v>417</v>
      </c>
      <c r="L15" s="12"/>
      <c r="M15" s="12"/>
      <c r="N15" s="12">
        <v>10</v>
      </c>
      <c r="O15" s="12"/>
      <c r="P15" s="12">
        <v>1</v>
      </c>
      <c r="Q15" s="12">
        <v>1</v>
      </c>
      <c r="R15" s="12" t="s">
        <v>91</v>
      </c>
      <c r="S15" s="12" t="s">
        <v>118</v>
      </c>
      <c r="T15" s="12" t="s">
        <v>779</v>
      </c>
    </row>
    <row r="16" spans="1:20" hidden="1" x14ac:dyDescent="0.25">
      <c r="A16" s="12"/>
      <c r="B16" s="12"/>
      <c r="C16" s="12"/>
      <c r="D16" s="12"/>
      <c r="E16" s="12"/>
      <c r="F16" s="12"/>
      <c r="G16" s="12"/>
      <c r="H16" s="12"/>
      <c r="I16" s="12" t="s">
        <v>787</v>
      </c>
      <c r="J16" s="13" t="s">
        <v>704</v>
      </c>
      <c r="K16" s="12" t="s">
        <v>420</v>
      </c>
      <c r="L16" s="12"/>
      <c r="M16" s="12"/>
      <c r="N16" s="12">
        <v>10</v>
      </c>
      <c r="O16" s="12"/>
      <c r="P16" s="12">
        <v>1</v>
      </c>
      <c r="Q16" s="12">
        <v>1</v>
      </c>
      <c r="R16" s="12" t="s">
        <v>91</v>
      </c>
      <c r="S16" s="12" t="s">
        <v>118</v>
      </c>
      <c r="T16" s="12" t="s">
        <v>779</v>
      </c>
    </row>
    <row r="17" spans="1:20" hidden="1" x14ac:dyDescent="0.25">
      <c r="A17" s="12" t="s">
        <v>788</v>
      </c>
      <c r="B17" s="13" t="s">
        <v>706</v>
      </c>
      <c r="C17" s="12" t="s">
        <v>350</v>
      </c>
      <c r="D17" s="12">
        <v>35</v>
      </c>
      <c r="E17" s="12"/>
      <c r="F17" s="12"/>
      <c r="G17" s="12">
        <v>1</v>
      </c>
      <c r="H17" s="12">
        <v>1</v>
      </c>
      <c r="I17" s="12" t="s">
        <v>788</v>
      </c>
      <c r="J17" s="13" t="s">
        <v>707</v>
      </c>
      <c r="K17" s="12" t="s">
        <v>350</v>
      </c>
      <c r="L17" s="12"/>
      <c r="M17" s="12">
        <v>35</v>
      </c>
      <c r="N17" s="12"/>
      <c r="O17" s="12"/>
      <c r="P17" s="12">
        <v>1</v>
      </c>
      <c r="Q17" s="12">
        <v>1</v>
      </c>
      <c r="R17" s="12"/>
      <c r="S17" s="12" t="s">
        <v>29</v>
      </c>
      <c r="T17" s="12" t="s">
        <v>29</v>
      </c>
    </row>
    <row r="18" spans="1:20" hidden="1" x14ac:dyDescent="0.25">
      <c r="A18" s="12" t="s">
        <v>789</v>
      </c>
      <c r="B18" s="13" t="s">
        <v>709</v>
      </c>
      <c r="C18" s="12" t="s">
        <v>352</v>
      </c>
      <c r="D18" s="12">
        <v>35</v>
      </c>
      <c r="E18" s="12"/>
      <c r="F18" s="12"/>
      <c r="G18" s="12">
        <v>1</v>
      </c>
      <c r="H18" s="12">
        <v>1</v>
      </c>
      <c r="I18" s="12" t="s">
        <v>789</v>
      </c>
      <c r="J18" s="13" t="s">
        <v>710</v>
      </c>
      <c r="K18" s="12" t="s">
        <v>352</v>
      </c>
      <c r="L18" s="12"/>
      <c r="M18" s="12">
        <v>35</v>
      </c>
      <c r="N18" s="12"/>
      <c r="O18" s="12"/>
      <c r="P18" s="12">
        <v>1</v>
      </c>
      <c r="Q18" s="12">
        <v>1</v>
      </c>
      <c r="R18" s="12"/>
      <c r="S18" s="12" t="s">
        <v>790</v>
      </c>
      <c r="T18" s="12" t="s">
        <v>791</v>
      </c>
    </row>
    <row r="19" spans="1:20" hidden="1" x14ac:dyDescent="0.25">
      <c r="A19" s="12" t="s">
        <v>792</v>
      </c>
      <c r="B19" s="13" t="s">
        <v>716</v>
      </c>
      <c r="C19" s="12" t="s">
        <v>360</v>
      </c>
      <c r="D19" s="12">
        <v>35</v>
      </c>
      <c r="E19" s="12"/>
      <c r="F19" s="12"/>
      <c r="G19" s="12">
        <v>1</v>
      </c>
      <c r="H19" s="12">
        <v>1</v>
      </c>
      <c r="I19" s="12" t="s">
        <v>792</v>
      </c>
      <c r="J19" s="13" t="s">
        <v>717</v>
      </c>
      <c r="K19" s="12" t="s">
        <v>360</v>
      </c>
      <c r="L19" s="12"/>
      <c r="M19" s="12">
        <v>35</v>
      </c>
      <c r="N19" s="12"/>
      <c r="O19" s="12"/>
      <c r="P19" s="12">
        <v>1</v>
      </c>
      <c r="Q19" s="12">
        <v>1</v>
      </c>
      <c r="R19" s="12"/>
      <c r="S19" s="12" t="s">
        <v>29</v>
      </c>
      <c r="T19" s="12" t="s">
        <v>29</v>
      </c>
    </row>
    <row r="20" spans="1:20" hidden="1" x14ac:dyDescent="0.25">
      <c r="A20" s="12" t="s">
        <v>793</v>
      </c>
      <c r="B20" s="13" t="s">
        <v>719</v>
      </c>
      <c r="C20" s="12" t="s">
        <v>692</v>
      </c>
      <c r="D20" s="12">
        <v>35</v>
      </c>
      <c r="E20" s="12"/>
      <c r="F20" s="12"/>
      <c r="G20" s="12">
        <v>0</v>
      </c>
      <c r="H20" s="12">
        <v>1</v>
      </c>
      <c r="I20" s="12" t="s">
        <v>793</v>
      </c>
      <c r="J20" s="13" t="s">
        <v>720</v>
      </c>
      <c r="K20" s="12" t="s">
        <v>692</v>
      </c>
      <c r="L20" s="12"/>
      <c r="M20" s="12">
        <v>35</v>
      </c>
      <c r="N20" s="12"/>
      <c r="O20" s="12"/>
      <c r="P20" s="12">
        <v>0</v>
      </c>
      <c r="Q20" s="12">
        <v>1</v>
      </c>
      <c r="R20" s="12"/>
      <c r="S20" s="12" t="s">
        <v>29</v>
      </c>
      <c r="T20" s="12" t="s">
        <v>29</v>
      </c>
    </row>
    <row r="21" spans="1:20" hidden="1" x14ac:dyDescent="0.25">
      <c r="A21" s="12" t="s">
        <v>794</v>
      </c>
      <c r="B21" s="13" t="s">
        <v>722</v>
      </c>
      <c r="C21" s="12" t="s">
        <v>363</v>
      </c>
      <c r="D21" s="12">
        <v>35</v>
      </c>
      <c r="E21" s="12"/>
      <c r="F21" s="12"/>
      <c r="G21" s="12">
        <v>1</v>
      </c>
      <c r="H21" s="12">
        <v>1</v>
      </c>
      <c r="I21" s="12" t="s">
        <v>794</v>
      </c>
      <c r="J21" s="13" t="s">
        <v>723</v>
      </c>
      <c r="K21" s="12" t="s">
        <v>363</v>
      </c>
      <c r="L21" s="12"/>
      <c r="M21" s="12">
        <v>35</v>
      </c>
      <c r="N21" s="12"/>
      <c r="O21" s="12"/>
      <c r="P21" s="12">
        <v>1</v>
      </c>
      <c r="Q21" s="12">
        <v>1</v>
      </c>
      <c r="R21" s="12"/>
      <c r="S21" s="12" t="s">
        <v>29</v>
      </c>
      <c r="T21" s="12" t="s">
        <v>29</v>
      </c>
    </row>
    <row r="22" spans="1:20" hidden="1" x14ac:dyDescent="0.25">
      <c r="A22" s="12" t="s">
        <v>795</v>
      </c>
      <c r="B22" s="13" t="s">
        <v>725</v>
      </c>
      <c r="C22" s="12" t="s">
        <v>726</v>
      </c>
      <c r="D22" s="12"/>
      <c r="E22" s="12"/>
      <c r="F22" s="12">
        <v>18</v>
      </c>
      <c r="G22" s="12">
        <v>1</v>
      </c>
      <c r="H22" s="12">
        <v>1</v>
      </c>
      <c r="I22" s="12" t="s">
        <v>795</v>
      </c>
      <c r="J22" s="13" t="s">
        <v>727</v>
      </c>
      <c r="K22" s="12" t="s">
        <v>726</v>
      </c>
      <c r="L22" s="12"/>
      <c r="M22" s="12"/>
      <c r="N22" s="12"/>
      <c r="O22" s="12">
        <v>18</v>
      </c>
      <c r="P22" s="12">
        <v>1</v>
      </c>
      <c r="Q22" s="12">
        <v>1</v>
      </c>
      <c r="R22" s="12"/>
      <c r="S22" s="12" t="s">
        <v>29</v>
      </c>
      <c r="T22" s="12" t="s">
        <v>29</v>
      </c>
    </row>
    <row r="23" spans="1:20" hidden="1" x14ac:dyDescent="0.25">
      <c r="A23" s="12" t="s">
        <v>796</v>
      </c>
      <c r="B23" s="13" t="s">
        <v>729</v>
      </c>
      <c r="C23" s="12" t="s">
        <v>54</v>
      </c>
      <c r="D23" s="12">
        <v>3</v>
      </c>
      <c r="E23" s="12"/>
      <c r="F23" s="12"/>
      <c r="G23" s="12"/>
      <c r="H23" s="12"/>
      <c r="I23" s="12" t="s">
        <v>796</v>
      </c>
      <c r="J23" s="13" t="s">
        <v>730</v>
      </c>
      <c r="K23" s="12" t="s">
        <v>54</v>
      </c>
      <c r="L23" s="12"/>
      <c r="M23" s="12"/>
      <c r="N23" s="12">
        <v>3</v>
      </c>
      <c r="O23" s="12"/>
      <c r="P23" s="12"/>
      <c r="Q23" s="12"/>
      <c r="R23" s="12"/>
      <c r="S23" s="12" t="s">
        <v>29</v>
      </c>
      <c r="T23" s="12" t="s">
        <v>29</v>
      </c>
    </row>
    <row r="24" spans="1:20" hidden="1" x14ac:dyDescent="0.25">
      <c r="A24" s="12" t="s">
        <v>797</v>
      </c>
      <c r="B24" s="13" t="s">
        <v>732</v>
      </c>
      <c r="C24" s="12" t="s">
        <v>733</v>
      </c>
      <c r="D24" s="12"/>
      <c r="E24" s="12">
        <v>10</v>
      </c>
      <c r="F24" s="12"/>
      <c r="G24" s="12">
        <v>1</v>
      </c>
      <c r="H24" s="12">
        <v>1</v>
      </c>
      <c r="I24" s="12" t="s">
        <v>797</v>
      </c>
      <c r="J24" s="13" t="s">
        <v>734</v>
      </c>
      <c r="K24" s="12" t="s">
        <v>733</v>
      </c>
      <c r="L24" s="12"/>
      <c r="M24" s="12"/>
      <c r="N24" s="12">
        <v>10</v>
      </c>
      <c r="O24" s="12"/>
      <c r="P24" s="12">
        <v>1</v>
      </c>
      <c r="Q24" s="12">
        <v>1</v>
      </c>
      <c r="R24" s="12"/>
      <c r="S24" s="12" t="s">
        <v>29</v>
      </c>
      <c r="T24" s="12" t="s">
        <v>29</v>
      </c>
    </row>
    <row r="25" spans="1:20" hidden="1" x14ac:dyDescent="0.25">
      <c r="A25" s="12" t="s">
        <v>798</v>
      </c>
      <c r="B25" s="13" t="s">
        <v>799</v>
      </c>
      <c r="C25" s="12" t="s">
        <v>64</v>
      </c>
      <c r="D25" s="12">
        <v>35</v>
      </c>
      <c r="E25" s="12"/>
      <c r="F25" s="12"/>
      <c r="G25" s="12">
        <v>0</v>
      </c>
      <c r="H25" s="12">
        <v>1</v>
      </c>
      <c r="I25" s="12" t="s">
        <v>798</v>
      </c>
      <c r="J25" s="13" t="s">
        <v>799</v>
      </c>
      <c r="K25" s="12" t="s">
        <v>64</v>
      </c>
      <c r="L25" s="12"/>
      <c r="M25" s="12">
        <v>35</v>
      </c>
      <c r="N25" s="12"/>
      <c r="O25" s="12"/>
      <c r="P25" s="12">
        <v>0</v>
      </c>
      <c r="Q25" s="12">
        <v>1</v>
      </c>
      <c r="R25" s="12"/>
      <c r="S25" s="12" t="s">
        <v>29</v>
      </c>
      <c r="T25" s="12" t="s">
        <v>29</v>
      </c>
    </row>
    <row r="26" spans="1:20" hidden="1" x14ac:dyDescent="0.25">
      <c r="A26" s="12" t="s">
        <v>800</v>
      </c>
      <c r="B26" s="13" t="s">
        <v>801</v>
      </c>
      <c r="C26" s="12" t="s">
        <v>68</v>
      </c>
      <c r="D26" s="12">
        <v>35</v>
      </c>
      <c r="E26" s="12"/>
      <c r="F26" s="12"/>
      <c r="G26" s="12">
        <v>0</v>
      </c>
      <c r="H26" s="12">
        <v>1</v>
      </c>
      <c r="I26" s="12" t="s">
        <v>800</v>
      </c>
      <c r="J26" s="13" t="s">
        <v>801</v>
      </c>
      <c r="K26" s="12" t="s">
        <v>68</v>
      </c>
      <c r="L26" s="12"/>
      <c r="M26" s="12">
        <v>35</v>
      </c>
      <c r="N26" s="12"/>
      <c r="O26" s="12"/>
      <c r="P26" s="12">
        <v>0</v>
      </c>
      <c r="Q26" s="12">
        <v>1</v>
      </c>
      <c r="R26" s="12"/>
      <c r="S26" s="12" t="s">
        <v>29</v>
      </c>
      <c r="T26" s="12" t="s">
        <v>29</v>
      </c>
    </row>
    <row r="27" spans="1:20" hidden="1" x14ac:dyDescent="0.25">
      <c r="A27" s="12" t="s">
        <v>802</v>
      </c>
      <c r="B27" s="13" t="s">
        <v>803</v>
      </c>
      <c r="C27" s="12" t="s">
        <v>72</v>
      </c>
      <c r="D27" s="12">
        <v>35</v>
      </c>
      <c r="E27" s="12"/>
      <c r="F27" s="12"/>
      <c r="G27" s="12">
        <v>0</v>
      </c>
      <c r="H27" s="12">
        <v>1</v>
      </c>
      <c r="I27" s="12" t="s">
        <v>802</v>
      </c>
      <c r="J27" s="13" t="s">
        <v>803</v>
      </c>
      <c r="K27" s="12" t="s">
        <v>72</v>
      </c>
      <c r="L27" s="12"/>
      <c r="M27" s="12">
        <v>35</v>
      </c>
      <c r="N27" s="12"/>
      <c r="O27" s="12"/>
      <c r="P27" s="12">
        <v>0</v>
      </c>
      <c r="Q27" s="12">
        <v>1</v>
      </c>
      <c r="R27" s="12"/>
      <c r="S27" s="12" t="s">
        <v>29</v>
      </c>
      <c r="T27" s="12" t="s">
        <v>29</v>
      </c>
    </row>
    <row r="28" spans="1:20" hidden="1" x14ac:dyDescent="0.25">
      <c r="A28" s="12"/>
      <c r="B28" s="12"/>
      <c r="C28" s="12"/>
      <c r="D28" s="12"/>
      <c r="E28" s="12"/>
      <c r="F28" s="12"/>
      <c r="G28" s="12"/>
      <c r="H28" s="12"/>
      <c r="I28" s="12" t="s">
        <v>804</v>
      </c>
      <c r="J28" s="13" t="s">
        <v>805</v>
      </c>
      <c r="K28" s="12" t="s">
        <v>117</v>
      </c>
      <c r="L28" s="12"/>
      <c r="M28" s="12">
        <v>140</v>
      </c>
      <c r="N28" s="12"/>
      <c r="O28" s="12"/>
      <c r="P28" s="12">
        <v>0</v>
      </c>
      <c r="Q28" s="12">
        <v>1</v>
      </c>
      <c r="R28" s="12" t="s">
        <v>91</v>
      </c>
      <c r="S28" s="12" t="s">
        <v>118</v>
      </c>
      <c r="T28" s="12" t="s">
        <v>806</v>
      </c>
    </row>
    <row r="29" spans="1:20" hidden="1" x14ac:dyDescent="0.25">
      <c r="A29" s="12"/>
      <c r="B29" s="12"/>
      <c r="C29" s="12"/>
      <c r="D29" s="12"/>
      <c r="E29" s="12"/>
      <c r="F29" s="12"/>
      <c r="G29" s="12"/>
      <c r="H29" s="12"/>
      <c r="I29" s="12" t="s">
        <v>807</v>
      </c>
      <c r="J29" s="13" t="s">
        <v>808</v>
      </c>
      <c r="K29" s="12" t="s">
        <v>122</v>
      </c>
      <c r="L29" s="12"/>
      <c r="M29" s="12">
        <v>70</v>
      </c>
      <c r="N29" s="12"/>
      <c r="O29" s="12"/>
      <c r="P29" s="12">
        <v>1</v>
      </c>
      <c r="Q29" s="12">
        <v>1</v>
      </c>
      <c r="R29" s="12" t="s">
        <v>91</v>
      </c>
      <c r="S29" s="12" t="s">
        <v>118</v>
      </c>
      <c r="T29" s="12" t="s">
        <v>806</v>
      </c>
    </row>
    <row r="30" spans="1:20" hidden="1" x14ac:dyDescent="0.25">
      <c r="A30" s="12"/>
      <c r="B30" s="12"/>
      <c r="C30" s="12"/>
      <c r="D30" s="12"/>
      <c r="E30" s="12"/>
      <c r="F30" s="12"/>
      <c r="G30" s="12"/>
      <c r="H30" s="12"/>
      <c r="I30" s="12" t="s">
        <v>809</v>
      </c>
      <c r="J30" s="13" t="s">
        <v>810</v>
      </c>
      <c r="K30" s="12" t="s">
        <v>126</v>
      </c>
      <c r="L30" s="12"/>
      <c r="M30" s="12">
        <v>16</v>
      </c>
      <c r="N30" s="12"/>
      <c r="O30" s="12"/>
      <c r="P30" s="12">
        <v>0</v>
      </c>
      <c r="Q30" s="12">
        <v>1</v>
      </c>
      <c r="R30" s="12" t="s">
        <v>91</v>
      </c>
      <c r="S30" s="12" t="s">
        <v>118</v>
      </c>
      <c r="T30" s="12" t="s">
        <v>806</v>
      </c>
    </row>
    <row r="31" spans="1:20" hidden="1" x14ac:dyDescent="0.25">
      <c r="A31" s="12"/>
      <c r="B31" s="12"/>
      <c r="C31" s="12"/>
      <c r="D31" s="12"/>
      <c r="E31" s="12"/>
      <c r="F31" s="12"/>
      <c r="G31" s="12"/>
      <c r="H31" s="12"/>
      <c r="I31" s="12" t="s">
        <v>811</v>
      </c>
      <c r="J31" s="13" t="s">
        <v>812</v>
      </c>
      <c r="K31" s="12" t="s">
        <v>129</v>
      </c>
      <c r="L31" s="12"/>
      <c r="M31" s="12">
        <v>16</v>
      </c>
      <c r="N31" s="12"/>
      <c r="O31" s="12"/>
      <c r="P31" s="12">
        <v>1</v>
      </c>
      <c r="Q31" s="12">
        <v>1</v>
      </c>
      <c r="R31" s="12" t="s">
        <v>91</v>
      </c>
      <c r="S31" s="12" t="s">
        <v>118</v>
      </c>
      <c r="T31" s="12" t="s">
        <v>806</v>
      </c>
    </row>
    <row r="32" spans="1:20" hidden="1" x14ac:dyDescent="0.25">
      <c r="A32" s="12"/>
      <c r="B32" s="12"/>
      <c r="C32" s="12"/>
      <c r="D32" s="12"/>
      <c r="E32" s="12"/>
      <c r="F32" s="12"/>
      <c r="G32" s="12"/>
      <c r="H32" s="12"/>
      <c r="I32" s="12" t="s">
        <v>813</v>
      </c>
      <c r="J32" s="13" t="s">
        <v>814</v>
      </c>
      <c r="K32" s="12" t="s">
        <v>132</v>
      </c>
      <c r="L32" s="12"/>
      <c r="M32" s="12">
        <v>35</v>
      </c>
      <c r="N32" s="12"/>
      <c r="O32" s="12"/>
      <c r="P32" s="12">
        <v>1</v>
      </c>
      <c r="Q32" s="12">
        <v>1</v>
      </c>
      <c r="R32" s="12" t="s">
        <v>91</v>
      </c>
      <c r="S32" s="12" t="s">
        <v>118</v>
      </c>
      <c r="T32" s="12" t="s">
        <v>806</v>
      </c>
    </row>
    <row r="33" spans="1:20" hidden="1" x14ac:dyDescent="0.25">
      <c r="A33" s="12"/>
      <c r="B33" s="12"/>
      <c r="C33" s="12"/>
      <c r="D33" s="12"/>
      <c r="E33" s="12"/>
      <c r="F33" s="12"/>
      <c r="G33" s="12"/>
      <c r="H33" s="12"/>
      <c r="I33" s="12" t="s">
        <v>815</v>
      </c>
      <c r="J33" s="13" t="s">
        <v>816</v>
      </c>
      <c r="K33" s="12" t="s">
        <v>135</v>
      </c>
      <c r="L33" s="12"/>
      <c r="M33" s="12">
        <v>35</v>
      </c>
      <c r="N33" s="12"/>
      <c r="O33" s="12"/>
      <c r="P33" s="12">
        <v>1</v>
      </c>
      <c r="Q33" s="12">
        <v>1</v>
      </c>
      <c r="R33" s="12" t="s">
        <v>91</v>
      </c>
      <c r="S33" s="12" t="s">
        <v>118</v>
      </c>
      <c r="T33" s="12" t="s">
        <v>806</v>
      </c>
    </row>
    <row r="34" spans="1:20" hidden="1" x14ac:dyDescent="0.25">
      <c r="A34" s="12"/>
      <c r="B34" s="12"/>
      <c r="C34" s="12"/>
      <c r="D34" s="12"/>
      <c r="E34" s="12"/>
      <c r="F34" s="12"/>
      <c r="G34" s="12"/>
      <c r="H34" s="12"/>
      <c r="I34" s="12" t="s">
        <v>817</v>
      </c>
      <c r="J34" s="13" t="s">
        <v>818</v>
      </c>
      <c r="K34" s="12" t="s">
        <v>138</v>
      </c>
      <c r="L34" s="12"/>
      <c r="M34" s="12"/>
      <c r="N34" s="12">
        <v>2</v>
      </c>
      <c r="O34" s="12"/>
      <c r="P34" s="12">
        <v>1</v>
      </c>
      <c r="Q34" s="12">
        <v>1</v>
      </c>
      <c r="R34" s="12" t="s">
        <v>91</v>
      </c>
      <c r="S34" s="12" t="s">
        <v>118</v>
      </c>
      <c r="T34" s="12" t="s">
        <v>806</v>
      </c>
    </row>
    <row r="35" spans="1:20" hidden="1" x14ac:dyDescent="0.25">
      <c r="A35" s="12"/>
      <c r="B35" s="12"/>
      <c r="C35" s="12"/>
      <c r="D35" s="12"/>
      <c r="E35" s="12"/>
      <c r="F35" s="12"/>
      <c r="G35" s="12"/>
      <c r="H35" s="12"/>
      <c r="I35" s="12" t="s">
        <v>819</v>
      </c>
      <c r="J35" s="13" t="s">
        <v>820</v>
      </c>
      <c r="K35" s="12" t="s">
        <v>141</v>
      </c>
      <c r="L35" s="12"/>
      <c r="M35" s="12">
        <v>70</v>
      </c>
      <c r="N35" s="12"/>
      <c r="O35" s="12"/>
      <c r="P35" s="12">
        <v>0</v>
      </c>
      <c r="Q35" s="12">
        <v>1</v>
      </c>
      <c r="R35" s="12" t="s">
        <v>91</v>
      </c>
      <c r="S35" s="12" t="s">
        <v>118</v>
      </c>
      <c r="T35" s="12" t="s">
        <v>806</v>
      </c>
    </row>
    <row r="36" spans="1:20" x14ac:dyDescent="0.25">
      <c r="A36" s="12"/>
      <c r="B36" s="12"/>
      <c r="C36" s="12"/>
      <c r="D36" s="12"/>
      <c r="E36" s="12"/>
      <c r="F36" s="12"/>
      <c r="G36" s="12"/>
      <c r="H36" s="12"/>
      <c r="I36" s="12" t="s">
        <v>821</v>
      </c>
      <c r="J36" s="13" t="s">
        <v>822</v>
      </c>
      <c r="K36" s="12" t="s">
        <v>144</v>
      </c>
      <c r="L36" s="12"/>
      <c r="M36" s="12"/>
      <c r="N36" s="12"/>
      <c r="O36" s="12"/>
      <c r="P36" s="12">
        <v>1</v>
      </c>
      <c r="Q36" s="12">
        <v>1</v>
      </c>
      <c r="R36" s="12" t="s">
        <v>91</v>
      </c>
      <c r="S36" s="12" t="s">
        <v>118</v>
      </c>
      <c r="T36" s="52" t="s">
        <v>145</v>
      </c>
    </row>
    <row r="37" spans="1:20" hidden="1" x14ac:dyDescent="0.25">
      <c r="A37" s="12"/>
      <c r="B37" s="12"/>
      <c r="C37" s="12"/>
      <c r="D37" s="12"/>
      <c r="E37" s="12"/>
      <c r="F37" s="12"/>
      <c r="G37" s="12"/>
      <c r="H37" s="12"/>
      <c r="I37" s="12" t="s">
        <v>823</v>
      </c>
      <c r="J37" s="13" t="s">
        <v>824</v>
      </c>
      <c r="K37" s="12" t="s">
        <v>148</v>
      </c>
      <c r="L37" s="12"/>
      <c r="M37" s="12">
        <v>35</v>
      </c>
      <c r="N37" s="12"/>
      <c r="O37" s="12"/>
      <c r="P37" s="12">
        <v>1</v>
      </c>
      <c r="Q37" s="12">
        <v>1</v>
      </c>
      <c r="R37" s="12" t="s">
        <v>91</v>
      </c>
      <c r="S37" s="12" t="s">
        <v>118</v>
      </c>
      <c r="T37" s="12" t="s">
        <v>806</v>
      </c>
    </row>
    <row r="38" spans="1:20" hidden="1" x14ac:dyDescent="0.25">
      <c r="A38" s="12" t="s">
        <v>825</v>
      </c>
      <c r="B38" s="13" t="s">
        <v>826</v>
      </c>
      <c r="C38" s="12" t="s">
        <v>117</v>
      </c>
      <c r="D38" s="12">
        <v>140</v>
      </c>
      <c r="E38" s="12"/>
      <c r="F38" s="12"/>
      <c r="G38" s="12">
        <v>0</v>
      </c>
      <c r="H38" s="12">
        <v>1</v>
      </c>
      <c r="I38" s="12" t="s">
        <v>825</v>
      </c>
      <c r="J38" s="13" t="s">
        <v>827</v>
      </c>
      <c r="K38" s="12" t="s">
        <v>117</v>
      </c>
      <c r="L38" s="12"/>
      <c r="M38" s="12">
        <v>140</v>
      </c>
      <c r="N38" s="12"/>
      <c r="O38" s="12"/>
      <c r="P38" s="12">
        <v>0</v>
      </c>
      <c r="Q38" s="12">
        <v>1</v>
      </c>
      <c r="R38" s="12"/>
      <c r="S38" s="12" t="s">
        <v>29</v>
      </c>
      <c r="T38" s="12" t="s">
        <v>29</v>
      </c>
    </row>
    <row r="39" spans="1:20" hidden="1" x14ac:dyDescent="0.25">
      <c r="A39" s="12" t="s">
        <v>828</v>
      </c>
      <c r="B39" s="13" t="s">
        <v>829</v>
      </c>
      <c r="C39" s="12" t="s">
        <v>122</v>
      </c>
      <c r="D39" s="12">
        <v>70</v>
      </c>
      <c r="E39" s="12"/>
      <c r="F39" s="12"/>
      <c r="G39" s="12">
        <v>0</v>
      </c>
      <c r="H39" s="12">
        <v>1</v>
      </c>
      <c r="I39" s="12" t="s">
        <v>828</v>
      </c>
      <c r="J39" s="13" t="s">
        <v>830</v>
      </c>
      <c r="K39" s="12" t="s">
        <v>122</v>
      </c>
      <c r="L39" s="12"/>
      <c r="M39" s="12">
        <v>70</v>
      </c>
      <c r="N39" s="12"/>
      <c r="O39" s="12"/>
      <c r="P39" s="12">
        <v>1</v>
      </c>
      <c r="Q39" s="12">
        <v>1</v>
      </c>
      <c r="R39" s="12"/>
      <c r="S39" s="51" t="s">
        <v>831</v>
      </c>
      <c r="T39" s="12" t="s">
        <v>29</v>
      </c>
    </row>
    <row r="40" spans="1:20" hidden="1" x14ac:dyDescent="0.25">
      <c r="A40" s="12" t="s">
        <v>832</v>
      </c>
      <c r="B40" s="13" t="s">
        <v>833</v>
      </c>
      <c r="C40" s="12" t="s">
        <v>126</v>
      </c>
      <c r="D40" s="12">
        <v>16</v>
      </c>
      <c r="E40" s="12"/>
      <c r="F40" s="12"/>
      <c r="G40" s="12">
        <v>0</v>
      </c>
      <c r="H40" s="12">
        <v>1</v>
      </c>
      <c r="I40" s="12" t="s">
        <v>832</v>
      </c>
      <c r="J40" s="13" t="s">
        <v>834</v>
      </c>
      <c r="K40" s="12" t="s">
        <v>126</v>
      </c>
      <c r="L40" s="12"/>
      <c r="M40" s="12">
        <v>16</v>
      </c>
      <c r="N40" s="12"/>
      <c r="O40" s="12"/>
      <c r="P40" s="12">
        <v>0</v>
      </c>
      <c r="Q40" s="12">
        <v>1</v>
      </c>
      <c r="R40" s="12"/>
      <c r="S40" s="12" t="s">
        <v>29</v>
      </c>
      <c r="T40" s="12" t="s">
        <v>29</v>
      </c>
    </row>
    <row r="41" spans="1:20" hidden="1" x14ac:dyDescent="0.25">
      <c r="A41" s="12" t="s">
        <v>835</v>
      </c>
      <c r="B41" s="13" t="s">
        <v>836</v>
      </c>
      <c r="C41" s="12" t="s">
        <v>129</v>
      </c>
      <c r="D41" s="12">
        <v>16</v>
      </c>
      <c r="E41" s="12"/>
      <c r="F41" s="12"/>
      <c r="G41" s="12">
        <v>0</v>
      </c>
      <c r="H41" s="12">
        <v>1</v>
      </c>
      <c r="I41" s="12" t="s">
        <v>835</v>
      </c>
      <c r="J41" s="13" t="s">
        <v>837</v>
      </c>
      <c r="K41" s="12" t="s">
        <v>129</v>
      </c>
      <c r="L41" s="12"/>
      <c r="M41" s="12">
        <v>16</v>
      </c>
      <c r="N41" s="12"/>
      <c r="O41" s="12"/>
      <c r="P41" s="12">
        <v>1</v>
      </c>
      <c r="Q41" s="12">
        <v>1</v>
      </c>
      <c r="R41" s="12"/>
      <c r="S41" s="51" t="s">
        <v>831</v>
      </c>
      <c r="T41" s="12" t="s">
        <v>29</v>
      </c>
    </row>
    <row r="42" spans="1:20" hidden="1" x14ac:dyDescent="0.25">
      <c r="A42" s="12" t="s">
        <v>838</v>
      </c>
      <c r="B42" s="13" t="s">
        <v>839</v>
      </c>
      <c r="C42" s="12" t="s">
        <v>132</v>
      </c>
      <c r="D42" s="12">
        <v>35</v>
      </c>
      <c r="E42" s="12"/>
      <c r="F42" s="12"/>
      <c r="G42" s="12">
        <v>0</v>
      </c>
      <c r="H42" s="12">
        <v>1</v>
      </c>
      <c r="I42" s="12" t="s">
        <v>838</v>
      </c>
      <c r="J42" s="13" t="s">
        <v>840</v>
      </c>
      <c r="K42" s="12" t="s">
        <v>132</v>
      </c>
      <c r="L42" s="12"/>
      <c r="M42" s="12">
        <v>35</v>
      </c>
      <c r="N42" s="12"/>
      <c r="O42" s="12"/>
      <c r="P42" s="12">
        <v>1</v>
      </c>
      <c r="Q42" s="12">
        <v>1</v>
      </c>
      <c r="R42" s="12"/>
      <c r="S42" s="51" t="s">
        <v>831</v>
      </c>
      <c r="T42" s="12" t="s">
        <v>29</v>
      </c>
    </row>
    <row r="43" spans="1:20" hidden="1" x14ac:dyDescent="0.25">
      <c r="A43" s="12"/>
      <c r="B43" s="12"/>
      <c r="C43" s="12"/>
      <c r="D43" s="12"/>
      <c r="E43" s="12"/>
      <c r="F43" s="12"/>
      <c r="G43" s="12"/>
      <c r="H43" s="12"/>
      <c r="I43" s="12" t="s">
        <v>841</v>
      </c>
      <c r="J43" s="13" t="s">
        <v>842</v>
      </c>
      <c r="K43" s="12" t="s">
        <v>135</v>
      </c>
      <c r="L43" s="12"/>
      <c r="M43" s="12">
        <v>35</v>
      </c>
      <c r="N43" s="12"/>
      <c r="O43" s="12"/>
      <c r="P43" s="12">
        <v>1</v>
      </c>
      <c r="Q43" s="12">
        <v>1</v>
      </c>
      <c r="R43" s="12" t="s">
        <v>91</v>
      </c>
      <c r="S43" s="12" t="s">
        <v>175</v>
      </c>
      <c r="T43" s="51" t="s">
        <v>843</v>
      </c>
    </row>
    <row r="44" spans="1:20" hidden="1" x14ac:dyDescent="0.25">
      <c r="A44" s="12" t="s">
        <v>844</v>
      </c>
      <c r="B44" s="13" t="s">
        <v>845</v>
      </c>
      <c r="C44" s="12" t="s">
        <v>138</v>
      </c>
      <c r="D44" s="12"/>
      <c r="E44" s="12">
        <v>2</v>
      </c>
      <c r="F44" s="12"/>
      <c r="G44" s="12">
        <v>0</v>
      </c>
      <c r="H44" s="12">
        <v>1</v>
      </c>
      <c r="I44" s="12" t="s">
        <v>844</v>
      </c>
      <c r="J44" s="13" t="s">
        <v>846</v>
      </c>
      <c r="K44" s="12" t="s">
        <v>138</v>
      </c>
      <c r="L44" s="12"/>
      <c r="M44" s="12"/>
      <c r="N44" s="12">
        <v>2</v>
      </c>
      <c r="O44" s="12"/>
      <c r="P44" s="12">
        <v>1</v>
      </c>
      <c r="Q44" s="12">
        <v>1</v>
      </c>
      <c r="R44" s="12"/>
      <c r="S44" s="51" t="s">
        <v>847</v>
      </c>
      <c r="T44" s="12" t="s">
        <v>29</v>
      </c>
    </row>
    <row r="45" spans="1:20" hidden="1" x14ac:dyDescent="0.25">
      <c r="A45" s="12"/>
      <c r="B45" s="12"/>
      <c r="C45" s="12"/>
      <c r="D45" s="12"/>
      <c r="E45" s="12"/>
      <c r="F45" s="12"/>
      <c r="G45" s="12"/>
      <c r="H45" s="12"/>
      <c r="I45" s="12" t="s">
        <v>848</v>
      </c>
      <c r="J45" s="13" t="s">
        <v>849</v>
      </c>
      <c r="K45" s="12" t="s">
        <v>141</v>
      </c>
      <c r="L45" s="12"/>
      <c r="M45" s="12">
        <v>70</v>
      </c>
      <c r="N45" s="12"/>
      <c r="O45" s="12"/>
      <c r="P45" s="12">
        <v>0</v>
      </c>
      <c r="Q45" s="12">
        <v>1</v>
      </c>
      <c r="R45" s="12" t="s">
        <v>91</v>
      </c>
      <c r="S45" s="12" t="s">
        <v>118</v>
      </c>
      <c r="T45" s="12" t="s">
        <v>183</v>
      </c>
    </row>
    <row r="46" spans="1:20" x14ac:dyDescent="0.25">
      <c r="A46" s="12"/>
      <c r="B46" s="12"/>
      <c r="C46" s="12"/>
      <c r="D46" s="12"/>
      <c r="E46" s="12"/>
      <c r="F46" s="12"/>
      <c r="G46" s="12"/>
      <c r="H46" s="12"/>
      <c r="I46" s="12" t="s">
        <v>850</v>
      </c>
      <c r="J46" s="13" t="s">
        <v>851</v>
      </c>
      <c r="K46" s="12" t="s">
        <v>144</v>
      </c>
      <c r="L46" s="12"/>
      <c r="M46" s="12"/>
      <c r="N46" s="12"/>
      <c r="O46" s="12"/>
      <c r="P46" s="12">
        <v>0</v>
      </c>
      <c r="Q46" s="12">
        <v>1</v>
      </c>
      <c r="R46" s="12" t="s">
        <v>91</v>
      </c>
      <c r="S46" s="12" t="s">
        <v>118</v>
      </c>
      <c r="T46" s="12" t="s">
        <v>151</v>
      </c>
    </row>
    <row r="47" spans="1:20" hidden="1" x14ac:dyDescent="0.25">
      <c r="A47" s="12" t="s">
        <v>852</v>
      </c>
      <c r="B47" s="13" t="s">
        <v>853</v>
      </c>
      <c r="C47" s="12" t="s">
        <v>188</v>
      </c>
      <c r="D47" s="12"/>
      <c r="E47" s="12">
        <v>10</v>
      </c>
      <c r="F47" s="12"/>
      <c r="G47" s="12">
        <v>1</v>
      </c>
      <c r="H47" s="12">
        <v>1</v>
      </c>
      <c r="I47" s="12" t="s">
        <v>852</v>
      </c>
      <c r="J47" s="13" t="s">
        <v>854</v>
      </c>
      <c r="K47" s="12" t="s">
        <v>188</v>
      </c>
      <c r="L47" s="12"/>
      <c r="M47" s="12"/>
      <c r="N47" s="12">
        <v>10</v>
      </c>
      <c r="O47" s="12"/>
      <c r="P47" s="12">
        <v>1</v>
      </c>
      <c r="Q47" s="12">
        <v>1</v>
      </c>
      <c r="R47" s="12"/>
      <c r="S47" s="12" t="s">
        <v>29</v>
      </c>
      <c r="T47" s="12" t="s">
        <v>29</v>
      </c>
    </row>
    <row r="48" spans="1:20" hidden="1" x14ac:dyDescent="0.25">
      <c r="A48" s="12" t="s">
        <v>855</v>
      </c>
      <c r="B48" s="13" t="s">
        <v>856</v>
      </c>
      <c r="C48" s="12" t="s">
        <v>193</v>
      </c>
      <c r="D48" s="12">
        <v>35</v>
      </c>
      <c r="E48" s="12"/>
      <c r="F48" s="12"/>
      <c r="G48" s="12">
        <v>1</v>
      </c>
      <c r="H48" s="12">
        <v>1</v>
      </c>
      <c r="I48" s="12" t="s">
        <v>855</v>
      </c>
      <c r="J48" s="13" t="s">
        <v>857</v>
      </c>
      <c r="K48" s="12" t="s">
        <v>193</v>
      </c>
      <c r="L48" s="12"/>
      <c r="M48" s="12">
        <v>35</v>
      </c>
      <c r="N48" s="12"/>
      <c r="O48" s="12"/>
      <c r="P48" s="12">
        <v>1</v>
      </c>
      <c r="Q48" s="12">
        <v>1</v>
      </c>
      <c r="R48" s="12"/>
      <c r="S48" s="12" t="s">
        <v>29</v>
      </c>
      <c r="T48" s="12" t="s">
        <v>29</v>
      </c>
    </row>
    <row r="49" spans="1:20" hidden="1" x14ac:dyDescent="0.25">
      <c r="A49" s="12" t="s">
        <v>858</v>
      </c>
      <c r="B49" s="13" t="s">
        <v>859</v>
      </c>
      <c r="C49" s="12" t="s">
        <v>198</v>
      </c>
      <c r="D49" s="12"/>
      <c r="E49" s="12">
        <v>2</v>
      </c>
      <c r="F49" s="12"/>
      <c r="G49" s="12">
        <v>1</v>
      </c>
      <c r="H49" s="12">
        <v>1</v>
      </c>
      <c r="I49" s="12" t="s">
        <v>858</v>
      </c>
      <c r="J49" s="13" t="s">
        <v>860</v>
      </c>
      <c r="K49" s="12" t="s">
        <v>198</v>
      </c>
      <c r="L49" s="12"/>
      <c r="M49" s="12"/>
      <c r="N49" s="12">
        <v>2</v>
      </c>
      <c r="O49" s="12"/>
      <c r="P49" s="12">
        <v>1</v>
      </c>
      <c r="Q49" s="12">
        <v>1</v>
      </c>
      <c r="R49" s="12"/>
      <c r="S49" s="12" t="s">
        <v>29</v>
      </c>
      <c r="T49" s="12" t="s">
        <v>29</v>
      </c>
    </row>
    <row r="50" spans="1:20" hidden="1" x14ac:dyDescent="0.25">
      <c r="A50" s="12" t="s">
        <v>861</v>
      </c>
      <c r="B50" s="13" t="s">
        <v>862</v>
      </c>
      <c r="C50" s="12" t="s">
        <v>117</v>
      </c>
      <c r="D50" s="12">
        <v>140</v>
      </c>
      <c r="E50" s="12"/>
      <c r="F50" s="12"/>
      <c r="G50" s="12">
        <v>0</v>
      </c>
      <c r="H50" s="12">
        <v>1</v>
      </c>
      <c r="I50" s="12" t="s">
        <v>861</v>
      </c>
      <c r="J50" s="13" t="s">
        <v>863</v>
      </c>
      <c r="K50" s="12" t="s">
        <v>117</v>
      </c>
      <c r="L50" s="12"/>
      <c r="M50" s="12">
        <v>140</v>
      </c>
      <c r="N50" s="12"/>
      <c r="O50" s="12"/>
      <c r="P50" s="12">
        <v>0</v>
      </c>
      <c r="Q50" s="12">
        <v>1</v>
      </c>
      <c r="R50" s="12"/>
      <c r="S50" s="12" t="s">
        <v>29</v>
      </c>
      <c r="T50" s="12" t="s">
        <v>29</v>
      </c>
    </row>
    <row r="51" spans="1:20" hidden="1" x14ac:dyDescent="0.25">
      <c r="A51" s="12" t="s">
        <v>864</v>
      </c>
      <c r="B51" s="13" t="s">
        <v>865</v>
      </c>
      <c r="C51" s="12" t="s">
        <v>122</v>
      </c>
      <c r="D51" s="12">
        <v>70</v>
      </c>
      <c r="E51" s="12"/>
      <c r="F51" s="12"/>
      <c r="G51" s="12">
        <v>0</v>
      </c>
      <c r="H51" s="12">
        <v>1</v>
      </c>
      <c r="I51" s="12" t="s">
        <v>864</v>
      </c>
      <c r="J51" s="13" t="s">
        <v>866</v>
      </c>
      <c r="K51" s="12" t="s">
        <v>122</v>
      </c>
      <c r="L51" s="12"/>
      <c r="M51" s="12">
        <v>70</v>
      </c>
      <c r="N51" s="12"/>
      <c r="O51" s="12"/>
      <c r="P51" s="12">
        <v>1</v>
      </c>
      <c r="Q51" s="12">
        <v>1</v>
      </c>
      <c r="R51" s="12"/>
      <c r="S51" s="51" t="s">
        <v>831</v>
      </c>
      <c r="T51" s="12" t="s">
        <v>29</v>
      </c>
    </row>
    <row r="52" spans="1:20" hidden="1" x14ac:dyDescent="0.25">
      <c r="A52" s="12" t="s">
        <v>867</v>
      </c>
      <c r="B52" s="13" t="s">
        <v>868</v>
      </c>
      <c r="C52" s="12" t="s">
        <v>126</v>
      </c>
      <c r="D52" s="12">
        <v>16</v>
      </c>
      <c r="E52" s="12"/>
      <c r="F52" s="12"/>
      <c r="G52" s="12">
        <v>0</v>
      </c>
      <c r="H52" s="12">
        <v>1</v>
      </c>
      <c r="I52" s="12" t="s">
        <v>867</v>
      </c>
      <c r="J52" s="13" t="s">
        <v>869</v>
      </c>
      <c r="K52" s="12" t="s">
        <v>126</v>
      </c>
      <c r="L52" s="12"/>
      <c r="M52" s="12">
        <v>16</v>
      </c>
      <c r="N52" s="12"/>
      <c r="O52" s="12"/>
      <c r="P52" s="12">
        <v>0</v>
      </c>
      <c r="Q52" s="12">
        <v>1</v>
      </c>
      <c r="R52" s="12"/>
      <c r="S52" s="12" t="s">
        <v>29</v>
      </c>
      <c r="T52" s="12" t="s">
        <v>29</v>
      </c>
    </row>
    <row r="53" spans="1:20" hidden="1" x14ac:dyDescent="0.25">
      <c r="A53" s="12" t="s">
        <v>870</v>
      </c>
      <c r="B53" s="13" t="s">
        <v>871</v>
      </c>
      <c r="C53" s="12" t="s">
        <v>129</v>
      </c>
      <c r="D53" s="12">
        <v>16</v>
      </c>
      <c r="E53" s="12"/>
      <c r="F53" s="12"/>
      <c r="G53" s="12">
        <v>0</v>
      </c>
      <c r="H53" s="12">
        <v>1</v>
      </c>
      <c r="I53" s="12" t="s">
        <v>870</v>
      </c>
      <c r="J53" s="13" t="s">
        <v>872</v>
      </c>
      <c r="K53" s="12" t="s">
        <v>129</v>
      </c>
      <c r="L53" s="12"/>
      <c r="M53" s="12">
        <v>16</v>
      </c>
      <c r="N53" s="12"/>
      <c r="O53" s="12"/>
      <c r="P53" s="12">
        <v>1</v>
      </c>
      <c r="Q53" s="12">
        <v>1</v>
      </c>
      <c r="R53" s="12"/>
      <c r="S53" s="51" t="s">
        <v>831</v>
      </c>
      <c r="T53" s="12" t="s">
        <v>29</v>
      </c>
    </row>
    <row r="54" spans="1:20" hidden="1" x14ac:dyDescent="0.25">
      <c r="A54" s="12" t="s">
        <v>873</v>
      </c>
      <c r="B54" s="13" t="s">
        <v>874</v>
      </c>
      <c r="C54" s="12" t="s">
        <v>132</v>
      </c>
      <c r="D54" s="12">
        <v>35</v>
      </c>
      <c r="E54" s="12"/>
      <c r="F54" s="12"/>
      <c r="G54" s="12">
        <v>0</v>
      </c>
      <c r="H54" s="12">
        <v>1</v>
      </c>
      <c r="I54" s="12" t="s">
        <v>873</v>
      </c>
      <c r="J54" s="13" t="s">
        <v>875</v>
      </c>
      <c r="K54" s="12" t="s">
        <v>132</v>
      </c>
      <c r="L54" s="12"/>
      <c r="M54" s="12">
        <v>35</v>
      </c>
      <c r="N54" s="12"/>
      <c r="O54" s="12"/>
      <c r="P54" s="12">
        <v>1</v>
      </c>
      <c r="Q54" s="12">
        <v>1</v>
      </c>
      <c r="R54" s="12"/>
      <c r="S54" s="51" t="s">
        <v>831</v>
      </c>
      <c r="T54" s="12" t="s">
        <v>29</v>
      </c>
    </row>
    <row r="55" spans="1:20" hidden="1" x14ac:dyDescent="0.25">
      <c r="A55" s="12"/>
      <c r="B55" s="12"/>
      <c r="C55" s="12"/>
      <c r="D55" s="12"/>
      <c r="E55" s="12"/>
      <c r="F55" s="12"/>
      <c r="G55" s="12"/>
      <c r="H55" s="12"/>
      <c r="I55" s="12" t="s">
        <v>876</v>
      </c>
      <c r="J55" s="13" t="s">
        <v>877</v>
      </c>
      <c r="K55" s="12" t="s">
        <v>135</v>
      </c>
      <c r="L55" s="12"/>
      <c r="M55" s="12">
        <v>35</v>
      </c>
      <c r="N55" s="12"/>
      <c r="O55" s="12"/>
      <c r="P55" s="12">
        <v>1</v>
      </c>
      <c r="Q55" s="12">
        <v>1</v>
      </c>
      <c r="R55" s="12" t="s">
        <v>91</v>
      </c>
      <c r="S55" s="12" t="s">
        <v>175</v>
      </c>
      <c r="T55" s="51" t="s">
        <v>878</v>
      </c>
    </row>
    <row r="56" spans="1:20" hidden="1" x14ac:dyDescent="0.25">
      <c r="A56" s="12" t="s">
        <v>879</v>
      </c>
      <c r="B56" s="13" t="s">
        <v>880</v>
      </c>
      <c r="C56" s="12" t="s">
        <v>138</v>
      </c>
      <c r="D56" s="12"/>
      <c r="E56" s="12">
        <v>2</v>
      </c>
      <c r="F56" s="12"/>
      <c r="G56" s="12">
        <v>0</v>
      </c>
      <c r="H56" s="12">
        <v>1</v>
      </c>
      <c r="I56" s="12" t="s">
        <v>879</v>
      </c>
      <c r="J56" s="13" t="s">
        <v>881</v>
      </c>
      <c r="K56" s="12" t="s">
        <v>138</v>
      </c>
      <c r="L56" s="12"/>
      <c r="M56" s="12"/>
      <c r="N56" s="12">
        <v>2</v>
      </c>
      <c r="O56" s="12"/>
      <c r="P56" s="12">
        <v>1</v>
      </c>
      <c r="Q56" s="12">
        <v>1</v>
      </c>
      <c r="R56" s="12"/>
      <c r="S56" s="51" t="s">
        <v>847</v>
      </c>
      <c r="T56" s="12" t="s">
        <v>29</v>
      </c>
    </row>
    <row r="57" spans="1:20" hidden="1" x14ac:dyDescent="0.25">
      <c r="A57" s="12"/>
      <c r="B57" s="12"/>
      <c r="C57" s="12"/>
      <c r="D57" s="12"/>
      <c r="E57" s="12"/>
      <c r="F57" s="12"/>
      <c r="G57" s="12"/>
      <c r="H57" s="12"/>
      <c r="I57" s="12" t="s">
        <v>882</v>
      </c>
      <c r="J57" s="13" t="s">
        <v>883</v>
      </c>
      <c r="K57" s="12" t="s">
        <v>141</v>
      </c>
      <c r="L57" s="12"/>
      <c r="M57" s="12">
        <v>70</v>
      </c>
      <c r="N57" s="12"/>
      <c r="O57" s="12"/>
      <c r="P57" s="12">
        <v>0</v>
      </c>
      <c r="Q57" s="12">
        <v>1</v>
      </c>
      <c r="R57" s="12" t="s">
        <v>91</v>
      </c>
      <c r="S57" s="12" t="s">
        <v>118</v>
      </c>
      <c r="T57" s="12" t="s">
        <v>244</v>
      </c>
    </row>
    <row r="58" spans="1:20" x14ac:dyDescent="0.25">
      <c r="A58" s="12"/>
      <c r="B58" s="12"/>
      <c r="C58" s="12"/>
      <c r="D58" s="12"/>
      <c r="E58" s="12"/>
      <c r="F58" s="12"/>
      <c r="G58" s="12"/>
      <c r="H58" s="12"/>
      <c r="I58" s="12" t="s">
        <v>884</v>
      </c>
      <c r="J58" s="13" t="s">
        <v>885</v>
      </c>
      <c r="K58" s="12" t="s">
        <v>144</v>
      </c>
      <c r="L58" s="12"/>
      <c r="M58" s="12"/>
      <c r="N58" s="12"/>
      <c r="O58" s="12"/>
      <c r="P58" s="12">
        <v>1</v>
      </c>
      <c r="Q58" s="12">
        <v>1</v>
      </c>
      <c r="R58" s="12" t="s">
        <v>91</v>
      </c>
      <c r="S58" s="12" t="s">
        <v>118</v>
      </c>
      <c r="T58" s="12" t="s">
        <v>151</v>
      </c>
    </row>
    <row r="59" spans="1:20" hidden="1" x14ac:dyDescent="0.25">
      <c r="A59" s="12" t="s">
        <v>886</v>
      </c>
      <c r="B59" s="13" t="s">
        <v>887</v>
      </c>
      <c r="C59" s="12" t="s">
        <v>188</v>
      </c>
      <c r="D59" s="12"/>
      <c r="E59" s="12">
        <v>10</v>
      </c>
      <c r="F59" s="12"/>
      <c r="G59" s="12">
        <v>1</v>
      </c>
      <c r="H59" s="12">
        <v>1</v>
      </c>
      <c r="I59" s="12" t="s">
        <v>886</v>
      </c>
      <c r="J59" s="13" t="s">
        <v>888</v>
      </c>
      <c r="K59" s="12" t="s">
        <v>188</v>
      </c>
      <c r="L59" s="12"/>
      <c r="M59" s="12"/>
      <c r="N59" s="12">
        <v>10</v>
      </c>
      <c r="O59" s="12"/>
      <c r="P59" s="12">
        <v>1</v>
      </c>
      <c r="Q59" s="12">
        <v>1</v>
      </c>
      <c r="R59" s="12"/>
      <c r="S59" s="12" t="s">
        <v>29</v>
      </c>
      <c r="T59" s="12" t="s">
        <v>29</v>
      </c>
    </row>
    <row r="60" spans="1:20" hidden="1" x14ac:dyDescent="0.25">
      <c r="A60" s="12" t="s">
        <v>889</v>
      </c>
      <c r="B60" s="13" t="s">
        <v>890</v>
      </c>
      <c r="C60" s="12" t="s">
        <v>193</v>
      </c>
      <c r="D60" s="12">
        <v>35</v>
      </c>
      <c r="E60" s="12"/>
      <c r="F60" s="12"/>
      <c r="G60" s="12">
        <v>1</v>
      </c>
      <c r="H60" s="12">
        <v>1</v>
      </c>
      <c r="I60" s="12" t="s">
        <v>889</v>
      </c>
      <c r="J60" s="13" t="s">
        <v>891</v>
      </c>
      <c r="K60" s="12" t="s">
        <v>193</v>
      </c>
      <c r="L60" s="12"/>
      <c r="M60" s="12">
        <v>35</v>
      </c>
      <c r="N60" s="12"/>
      <c r="O60" s="12"/>
      <c r="P60" s="12">
        <v>1</v>
      </c>
      <c r="Q60" s="12">
        <v>1</v>
      </c>
      <c r="R60" s="12"/>
      <c r="S60" s="12" t="s">
        <v>29</v>
      </c>
      <c r="T60" s="12" t="s">
        <v>29</v>
      </c>
    </row>
    <row r="61" spans="1:20" hidden="1" x14ac:dyDescent="0.25">
      <c r="A61" s="12" t="s">
        <v>892</v>
      </c>
      <c r="B61" s="13" t="s">
        <v>893</v>
      </c>
      <c r="C61" s="12" t="s">
        <v>198</v>
      </c>
      <c r="D61" s="12"/>
      <c r="E61" s="12">
        <v>2</v>
      </c>
      <c r="F61" s="12"/>
      <c r="G61" s="12">
        <v>1</v>
      </c>
      <c r="H61" s="12">
        <v>1</v>
      </c>
      <c r="I61" s="12" t="s">
        <v>892</v>
      </c>
      <c r="J61" s="13" t="s">
        <v>894</v>
      </c>
      <c r="K61" s="12" t="s">
        <v>198</v>
      </c>
      <c r="L61" s="12"/>
      <c r="M61" s="12"/>
      <c r="N61" s="12">
        <v>2</v>
      </c>
      <c r="O61" s="12"/>
      <c r="P61" s="12">
        <v>1</v>
      </c>
      <c r="Q61" s="12">
        <v>1</v>
      </c>
      <c r="R61" s="12"/>
      <c r="S61" s="12" t="s">
        <v>29</v>
      </c>
      <c r="T61" s="12" t="s">
        <v>29</v>
      </c>
    </row>
    <row r="62" spans="1:20" hidden="1" x14ac:dyDescent="0.25">
      <c r="A62" s="12"/>
      <c r="B62" s="12"/>
      <c r="C62" s="12"/>
      <c r="D62" s="12"/>
      <c r="E62" s="12"/>
      <c r="F62" s="12"/>
      <c r="G62" s="12"/>
      <c r="H62" s="12"/>
      <c r="I62" s="12" t="s">
        <v>895</v>
      </c>
      <c r="J62" s="13" t="s">
        <v>896</v>
      </c>
      <c r="K62" s="12" t="s">
        <v>558</v>
      </c>
      <c r="L62" s="12"/>
      <c r="M62" s="12"/>
      <c r="N62" s="12"/>
      <c r="O62" s="12"/>
      <c r="P62" s="12">
        <v>0</v>
      </c>
      <c r="Q62" s="12">
        <v>1</v>
      </c>
      <c r="R62" s="12" t="s">
        <v>91</v>
      </c>
      <c r="S62" s="12" t="s">
        <v>118</v>
      </c>
      <c r="T62" s="12" t="s">
        <v>151</v>
      </c>
    </row>
    <row r="63" spans="1:20" hidden="1" x14ac:dyDescent="0.25">
      <c r="A63" s="12"/>
      <c r="B63" s="12"/>
      <c r="C63" s="12"/>
      <c r="D63" s="12"/>
      <c r="E63" s="12"/>
      <c r="F63" s="12"/>
      <c r="G63" s="12"/>
      <c r="H63" s="12"/>
      <c r="I63" s="12" t="s">
        <v>897</v>
      </c>
      <c r="J63" s="13" t="s">
        <v>898</v>
      </c>
      <c r="K63" s="12" t="s">
        <v>117</v>
      </c>
      <c r="L63" s="12"/>
      <c r="M63" s="12">
        <v>140</v>
      </c>
      <c r="N63" s="12"/>
      <c r="O63" s="12"/>
      <c r="P63" s="12">
        <v>0</v>
      </c>
      <c r="Q63" s="12">
        <v>1</v>
      </c>
      <c r="R63" s="12" t="s">
        <v>91</v>
      </c>
      <c r="S63" s="12" t="s">
        <v>118</v>
      </c>
      <c r="T63" s="12" t="s">
        <v>806</v>
      </c>
    </row>
    <row r="64" spans="1:20" hidden="1" x14ac:dyDescent="0.25">
      <c r="A64" s="12"/>
      <c r="B64" s="12"/>
      <c r="C64" s="12"/>
      <c r="D64" s="12"/>
      <c r="E64" s="12"/>
      <c r="F64" s="12"/>
      <c r="G64" s="12"/>
      <c r="H64" s="12"/>
      <c r="I64" s="12" t="s">
        <v>899</v>
      </c>
      <c r="J64" s="13" t="s">
        <v>900</v>
      </c>
      <c r="K64" s="12" t="s">
        <v>122</v>
      </c>
      <c r="L64" s="12"/>
      <c r="M64" s="12">
        <v>70</v>
      </c>
      <c r="N64" s="12"/>
      <c r="O64" s="12"/>
      <c r="P64" s="12">
        <v>1</v>
      </c>
      <c r="Q64" s="12">
        <v>1</v>
      </c>
      <c r="R64" s="12" t="s">
        <v>91</v>
      </c>
      <c r="S64" s="12" t="s">
        <v>118</v>
      </c>
      <c r="T64" s="12" t="s">
        <v>806</v>
      </c>
    </row>
    <row r="65" spans="1:20" hidden="1" x14ac:dyDescent="0.25">
      <c r="A65" s="12"/>
      <c r="B65" s="12"/>
      <c r="C65" s="12"/>
      <c r="D65" s="12"/>
      <c r="E65" s="12"/>
      <c r="F65" s="12"/>
      <c r="G65" s="12"/>
      <c r="H65" s="12"/>
      <c r="I65" s="12" t="s">
        <v>901</v>
      </c>
      <c r="J65" s="13" t="s">
        <v>902</v>
      </c>
      <c r="K65" s="12" t="s">
        <v>126</v>
      </c>
      <c r="L65" s="12"/>
      <c r="M65" s="12">
        <v>16</v>
      </c>
      <c r="N65" s="12"/>
      <c r="O65" s="12"/>
      <c r="P65" s="12">
        <v>0</v>
      </c>
      <c r="Q65" s="12">
        <v>1</v>
      </c>
      <c r="R65" s="12" t="s">
        <v>91</v>
      </c>
      <c r="S65" s="12" t="s">
        <v>118</v>
      </c>
      <c r="T65" s="12" t="s">
        <v>806</v>
      </c>
    </row>
    <row r="66" spans="1:20" hidden="1" x14ac:dyDescent="0.25">
      <c r="A66" s="12"/>
      <c r="B66" s="12"/>
      <c r="C66" s="12"/>
      <c r="D66" s="12"/>
      <c r="E66" s="12"/>
      <c r="F66" s="12"/>
      <c r="G66" s="12"/>
      <c r="H66" s="12"/>
      <c r="I66" s="12" t="s">
        <v>903</v>
      </c>
      <c r="J66" s="13" t="s">
        <v>904</v>
      </c>
      <c r="K66" s="12" t="s">
        <v>129</v>
      </c>
      <c r="L66" s="12"/>
      <c r="M66" s="12">
        <v>16</v>
      </c>
      <c r="N66" s="12"/>
      <c r="O66" s="12"/>
      <c r="P66" s="12">
        <v>1</v>
      </c>
      <c r="Q66" s="12">
        <v>1</v>
      </c>
      <c r="R66" s="12" t="s">
        <v>91</v>
      </c>
      <c r="S66" s="12" t="s">
        <v>118</v>
      </c>
      <c r="T66" s="12" t="s">
        <v>806</v>
      </c>
    </row>
    <row r="67" spans="1:20" hidden="1" x14ac:dyDescent="0.25">
      <c r="A67" s="12"/>
      <c r="B67" s="12"/>
      <c r="C67" s="12"/>
      <c r="D67" s="12"/>
      <c r="E67" s="12"/>
      <c r="F67" s="12"/>
      <c r="G67" s="12"/>
      <c r="H67" s="12"/>
      <c r="I67" s="12" t="s">
        <v>905</v>
      </c>
      <c r="J67" s="13" t="s">
        <v>906</v>
      </c>
      <c r="K67" s="12" t="s">
        <v>132</v>
      </c>
      <c r="L67" s="12"/>
      <c r="M67" s="12">
        <v>35</v>
      </c>
      <c r="N67" s="12"/>
      <c r="O67" s="12"/>
      <c r="P67" s="12">
        <v>1</v>
      </c>
      <c r="Q67" s="12">
        <v>1</v>
      </c>
      <c r="R67" s="12" t="s">
        <v>91</v>
      </c>
      <c r="S67" s="12" t="s">
        <v>118</v>
      </c>
      <c r="T67" s="12" t="s">
        <v>806</v>
      </c>
    </row>
    <row r="68" spans="1:20" hidden="1" x14ac:dyDescent="0.25">
      <c r="A68" s="12"/>
      <c r="B68" s="12"/>
      <c r="C68" s="12"/>
      <c r="D68" s="12"/>
      <c r="E68" s="12"/>
      <c r="F68" s="12"/>
      <c r="G68" s="12"/>
      <c r="H68" s="12"/>
      <c r="I68" s="12" t="s">
        <v>907</v>
      </c>
      <c r="J68" s="13" t="s">
        <v>908</v>
      </c>
      <c r="K68" s="12" t="s">
        <v>135</v>
      </c>
      <c r="L68" s="12"/>
      <c r="M68" s="12">
        <v>35</v>
      </c>
      <c r="N68" s="12"/>
      <c r="O68" s="12"/>
      <c r="P68" s="12">
        <v>1</v>
      </c>
      <c r="Q68" s="12">
        <v>1</v>
      </c>
      <c r="R68" s="12" t="s">
        <v>91</v>
      </c>
      <c r="S68" s="12" t="s">
        <v>118</v>
      </c>
      <c r="T68" s="12" t="s">
        <v>806</v>
      </c>
    </row>
    <row r="69" spans="1:20" hidden="1" x14ac:dyDescent="0.25">
      <c r="A69" s="12"/>
      <c r="B69" s="12"/>
      <c r="C69" s="12"/>
      <c r="D69" s="12"/>
      <c r="E69" s="12"/>
      <c r="F69" s="12"/>
      <c r="G69" s="12"/>
      <c r="H69" s="12"/>
      <c r="I69" s="12" t="s">
        <v>909</v>
      </c>
      <c r="J69" s="13" t="s">
        <v>910</v>
      </c>
      <c r="K69" s="12" t="s">
        <v>138</v>
      </c>
      <c r="L69" s="12"/>
      <c r="M69" s="12"/>
      <c r="N69" s="12">
        <v>2</v>
      </c>
      <c r="O69" s="12"/>
      <c r="P69" s="12">
        <v>1</v>
      </c>
      <c r="Q69" s="12">
        <v>1</v>
      </c>
      <c r="R69" s="12" t="s">
        <v>91</v>
      </c>
      <c r="S69" s="12" t="s">
        <v>118</v>
      </c>
      <c r="T69" s="12" t="s">
        <v>806</v>
      </c>
    </row>
    <row r="70" spans="1:20" hidden="1" x14ac:dyDescent="0.25">
      <c r="A70" s="12"/>
      <c r="B70" s="12"/>
      <c r="C70" s="12"/>
      <c r="D70" s="12"/>
      <c r="E70" s="12"/>
      <c r="F70" s="12"/>
      <c r="G70" s="12"/>
      <c r="H70" s="12"/>
      <c r="I70" s="12" t="s">
        <v>911</v>
      </c>
      <c r="J70" s="13" t="s">
        <v>912</v>
      </c>
      <c r="K70" s="12" t="s">
        <v>141</v>
      </c>
      <c r="L70" s="12"/>
      <c r="M70" s="12">
        <v>70</v>
      </c>
      <c r="N70" s="12"/>
      <c r="O70" s="12"/>
      <c r="P70" s="12">
        <v>0</v>
      </c>
      <c r="Q70" s="12">
        <v>1</v>
      </c>
      <c r="R70" s="12" t="s">
        <v>91</v>
      </c>
      <c r="S70" s="12" t="s">
        <v>118</v>
      </c>
      <c r="T70" s="12" t="s">
        <v>806</v>
      </c>
    </row>
    <row r="71" spans="1:20" x14ac:dyDescent="0.25">
      <c r="A71" s="12"/>
      <c r="B71" s="12"/>
      <c r="C71" s="12"/>
      <c r="D71" s="12"/>
      <c r="E71" s="12"/>
      <c r="F71" s="12"/>
      <c r="G71" s="12"/>
      <c r="H71" s="12"/>
      <c r="I71" s="12" t="s">
        <v>913</v>
      </c>
      <c r="J71" s="13" t="s">
        <v>914</v>
      </c>
      <c r="K71" s="12" t="s">
        <v>144</v>
      </c>
      <c r="L71" s="12"/>
      <c r="M71" s="12"/>
      <c r="N71" s="12"/>
      <c r="O71" s="12"/>
      <c r="P71" s="12">
        <v>1</v>
      </c>
      <c r="Q71" s="12">
        <v>1</v>
      </c>
      <c r="R71" s="12" t="s">
        <v>91</v>
      </c>
      <c r="S71" s="12" t="s">
        <v>118</v>
      </c>
      <c r="T71" s="52" t="s">
        <v>284</v>
      </c>
    </row>
    <row r="72" spans="1:20" hidden="1" x14ac:dyDescent="0.25">
      <c r="A72" s="12"/>
      <c r="B72" s="12"/>
      <c r="C72" s="12"/>
      <c r="D72" s="12"/>
      <c r="E72" s="12"/>
      <c r="F72" s="12"/>
      <c r="G72" s="12"/>
      <c r="H72" s="12"/>
      <c r="I72" s="12" t="s">
        <v>915</v>
      </c>
      <c r="J72" s="13" t="s">
        <v>916</v>
      </c>
      <c r="K72" s="12" t="s">
        <v>148</v>
      </c>
      <c r="L72" s="12"/>
      <c r="M72" s="12">
        <v>35</v>
      </c>
      <c r="N72" s="12"/>
      <c r="O72" s="12"/>
      <c r="P72" s="12">
        <v>1</v>
      </c>
      <c r="Q72" s="12">
        <v>1</v>
      </c>
      <c r="R72" s="12" t="s">
        <v>91</v>
      </c>
      <c r="S72" s="12" t="s">
        <v>118</v>
      </c>
      <c r="T72" s="12" t="s">
        <v>806</v>
      </c>
    </row>
    <row r="73" spans="1:20" hidden="1" x14ac:dyDescent="0.25">
      <c r="A73" s="12" t="s">
        <v>917</v>
      </c>
      <c r="B73" s="13" t="s">
        <v>918</v>
      </c>
      <c r="C73" s="12" t="s">
        <v>310</v>
      </c>
      <c r="D73" s="12">
        <v>140</v>
      </c>
      <c r="E73" s="12"/>
      <c r="F73" s="12"/>
      <c r="G73" s="12">
        <v>0</v>
      </c>
      <c r="H73" s="16">
        <v>1</v>
      </c>
      <c r="I73" s="12" t="s">
        <v>917</v>
      </c>
      <c r="J73" s="13" t="s">
        <v>919</v>
      </c>
      <c r="K73" s="12" t="s">
        <v>310</v>
      </c>
      <c r="L73" s="12"/>
      <c r="M73" s="12">
        <v>140</v>
      </c>
      <c r="N73" s="12"/>
      <c r="O73" s="12"/>
      <c r="P73" s="12">
        <v>0</v>
      </c>
      <c r="Q73" s="16">
        <v>20</v>
      </c>
      <c r="R73" s="12"/>
      <c r="S73" s="12" t="s">
        <v>29</v>
      </c>
      <c r="T73" s="12" t="s">
        <v>920</v>
      </c>
    </row>
    <row r="74" spans="1:20" hidden="1" x14ac:dyDescent="0.25">
      <c r="A74" s="12"/>
      <c r="B74" s="12"/>
      <c r="C74" s="12"/>
      <c r="D74" s="12"/>
      <c r="E74" s="12"/>
      <c r="F74" s="12"/>
      <c r="G74" s="12"/>
      <c r="H74" s="12"/>
      <c r="I74" s="12" t="s">
        <v>921</v>
      </c>
      <c r="J74" s="13" t="s">
        <v>922</v>
      </c>
      <c r="K74" s="12" t="s">
        <v>85</v>
      </c>
      <c r="L74" s="12"/>
      <c r="M74" s="12">
        <v>35</v>
      </c>
      <c r="N74" s="12"/>
      <c r="O74" s="12"/>
      <c r="P74" s="12">
        <v>1</v>
      </c>
      <c r="Q74" s="12">
        <v>1</v>
      </c>
      <c r="R74" s="12" t="s">
        <v>91</v>
      </c>
      <c r="S74" s="12" t="s">
        <v>118</v>
      </c>
      <c r="T74" s="12" t="s">
        <v>151</v>
      </c>
    </row>
    <row r="75" spans="1:20" hidden="1" x14ac:dyDescent="0.25">
      <c r="A75" s="12"/>
      <c r="B75" s="12"/>
      <c r="C75" s="12"/>
      <c r="D75" s="12"/>
      <c r="E75" s="12"/>
      <c r="F75" s="12"/>
      <c r="G75" s="12"/>
      <c r="H75" s="12"/>
      <c r="I75" s="12" t="s">
        <v>923</v>
      </c>
      <c r="J75" s="13" t="s">
        <v>924</v>
      </c>
      <c r="K75" s="12" t="s">
        <v>328</v>
      </c>
      <c r="L75" s="12"/>
      <c r="M75" s="12"/>
      <c r="N75" s="12"/>
      <c r="O75" s="12">
        <v>18</v>
      </c>
      <c r="P75" s="12">
        <v>1</v>
      </c>
      <c r="Q75" s="12">
        <v>1</v>
      </c>
      <c r="R75" s="12" t="s">
        <v>91</v>
      </c>
      <c r="S75" s="12" t="s">
        <v>118</v>
      </c>
      <c r="T75" s="12" t="s">
        <v>151</v>
      </c>
    </row>
    <row r="76" spans="1:20" hidden="1" x14ac:dyDescent="0.25">
      <c r="A76" s="12"/>
      <c r="B76" s="12"/>
      <c r="C76" s="12"/>
      <c r="D76" s="12"/>
      <c r="E76" s="12"/>
      <c r="F76" s="12"/>
      <c r="G76" s="12"/>
      <c r="H76" s="12"/>
      <c r="I76" s="12" t="s">
        <v>925</v>
      </c>
      <c r="J76" s="13" t="s">
        <v>926</v>
      </c>
      <c r="K76" s="12" t="s">
        <v>54</v>
      </c>
      <c r="L76" s="12"/>
      <c r="M76" s="12"/>
      <c r="N76" s="12">
        <v>3</v>
      </c>
      <c r="O76" s="12"/>
      <c r="P76" s="12"/>
      <c r="Q76" s="12"/>
      <c r="R76" s="12" t="s">
        <v>91</v>
      </c>
      <c r="S76" s="12" t="s">
        <v>118</v>
      </c>
      <c r="T76" s="12" t="s">
        <v>151</v>
      </c>
    </row>
  </sheetData>
  <autoFilter ref="A1:T76">
    <filterColumn colId="10">
      <filters>
        <filter val="LEI"/>
      </filters>
    </filterColumn>
  </autoFilter>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K48"/>
  <sheetViews>
    <sheetView zoomScale="75" zoomScaleNormal="75" workbookViewId="0">
      <pane ySplit="1" topLeftCell="A13" activePane="bottomLeft" state="frozen"/>
      <selection activeCell="K1" sqref="K1"/>
      <selection pane="bottomLeft" activeCell="A14" sqref="A14"/>
    </sheetView>
  </sheetViews>
  <sheetFormatPr defaultRowHeight="15" x14ac:dyDescent="0.25"/>
  <cols>
    <col min="1" max="1" width="64.140625" style="12" customWidth="1"/>
    <col min="2" max="3" width="8.7109375" style="12" customWidth="1"/>
    <col min="4" max="4" width="9.85546875" style="12" customWidth="1"/>
    <col min="5" max="5" width="9.7109375" style="12" customWidth="1"/>
    <col min="6" max="6" width="7.7109375" style="12" customWidth="1"/>
    <col min="7" max="7" width="7" style="12" customWidth="1"/>
    <col min="8" max="8" width="6.7109375" style="12" customWidth="1"/>
    <col min="9" max="9" width="85.7109375" style="12" customWidth="1"/>
    <col min="10" max="11" width="8.7109375" style="12" customWidth="1"/>
    <col min="12" max="12" width="11.5703125" style="12" hidden="1"/>
    <col min="13" max="13" width="9.28515625" style="12" customWidth="1"/>
    <col min="14" max="14" width="10.28515625" style="12" customWidth="1"/>
    <col min="15" max="15" width="6.85546875" style="12" customWidth="1"/>
    <col min="16" max="16" width="6.7109375" style="12" customWidth="1"/>
    <col min="17" max="17" width="6.85546875" style="12" customWidth="1"/>
    <col min="18" max="18" width="13.85546875" style="12" customWidth="1"/>
    <col min="19" max="19" width="21.42578125" style="12" customWidth="1"/>
    <col min="20" max="20" width="18.28515625" style="12" customWidth="1"/>
    <col min="21" max="1025" width="8.7109375" style="12" customWidth="1"/>
  </cols>
  <sheetData>
    <row r="1" spans="1:20"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23</v>
      </c>
      <c r="T1" s="11" t="s">
        <v>24</v>
      </c>
    </row>
    <row r="2" spans="1:20" x14ac:dyDescent="0.25">
      <c r="A2" s="12" t="s">
        <v>927</v>
      </c>
      <c r="B2" s="13" t="s">
        <v>26</v>
      </c>
      <c r="C2" s="12" t="s">
        <v>148</v>
      </c>
      <c r="D2" s="12">
        <v>35</v>
      </c>
      <c r="G2" s="12">
        <v>1</v>
      </c>
      <c r="H2" s="12">
        <v>1</v>
      </c>
      <c r="I2" s="12" t="s">
        <v>927</v>
      </c>
      <c r="J2" s="13" t="s">
        <v>26</v>
      </c>
      <c r="K2" s="12" t="s">
        <v>148</v>
      </c>
      <c r="M2" s="12">
        <v>35</v>
      </c>
      <c r="P2" s="12">
        <v>1</v>
      </c>
      <c r="Q2" s="12">
        <v>1</v>
      </c>
      <c r="S2" s="12" t="s">
        <v>29</v>
      </c>
      <c r="T2" s="12" t="s">
        <v>29</v>
      </c>
    </row>
    <row r="3" spans="1:20" s="14" customFormat="1" x14ac:dyDescent="0.25">
      <c r="A3" s="14" t="s">
        <v>928</v>
      </c>
      <c r="B3" s="15" t="s">
        <v>670</v>
      </c>
      <c r="C3" s="14" t="s">
        <v>106</v>
      </c>
      <c r="D3" s="14">
        <v>9</v>
      </c>
      <c r="G3" s="14">
        <v>1</v>
      </c>
      <c r="H3" s="14">
        <v>1</v>
      </c>
      <c r="I3" s="14" t="s">
        <v>928</v>
      </c>
      <c r="J3" s="15" t="s">
        <v>671</v>
      </c>
      <c r="K3" s="14" t="s">
        <v>106</v>
      </c>
      <c r="M3" s="14">
        <v>9</v>
      </c>
      <c r="P3" s="14">
        <v>1</v>
      </c>
      <c r="Q3" s="14">
        <v>1</v>
      </c>
      <c r="S3" s="14" t="s">
        <v>29</v>
      </c>
      <c r="T3" s="32" t="s">
        <v>390</v>
      </c>
    </row>
    <row r="4" spans="1:20" x14ac:dyDescent="0.25">
      <c r="A4" s="12" t="s">
        <v>929</v>
      </c>
      <c r="B4" s="13" t="s">
        <v>674</v>
      </c>
      <c r="C4" s="12" t="s">
        <v>36</v>
      </c>
      <c r="E4" s="12">
        <v>19</v>
      </c>
      <c r="G4" s="12">
        <v>1</v>
      </c>
      <c r="H4" s="12">
        <v>1</v>
      </c>
      <c r="I4" s="12" t="s">
        <v>929</v>
      </c>
      <c r="J4" s="13" t="s">
        <v>675</v>
      </c>
      <c r="K4" s="12" t="s">
        <v>36</v>
      </c>
      <c r="N4" s="12">
        <v>19</v>
      </c>
      <c r="P4" s="12">
        <v>1</v>
      </c>
      <c r="Q4" s="12">
        <v>1</v>
      </c>
      <c r="S4" s="12" t="s">
        <v>29</v>
      </c>
      <c r="T4" s="12" t="s">
        <v>29</v>
      </c>
    </row>
    <row r="5" spans="1:20" s="14" customFormat="1" x14ac:dyDescent="0.25">
      <c r="A5" s="14" t="s">
        <v>930</v>
      </c>
      <c r="B5" s="15" t="s">
        <v>677</v>
      </c>
      <c r="C5" s="14" t="s">
        <v>106</v>
      </c>
      <c r="D5" s="14">
        <v>9</v>
      </c>
      <c r="G5" s="14">
        <v>1</v>
      </c>
      <c r="H5" s="14">
        <v>1</v>
      </c>
      <c r="I5" s="14" t="s">
        <v>930</v>
      </c>
      <c r="J5" s="15" t="s">
        <v>678</v>
      </c>
      <c r="K5" s="14" t="s">
        <v>106</v>
      </c>
      <c r="M5" s="14">
        <v>9</v>
      </c>
      <c r="P5" s="14">
        <v>1</v>
      </c>
      <c r="Q5" s="14">
        <v>1</v>
      </c>
      <c r="S5" s="14" t="s">
        <v>29</v>
      </c>
      <c r="T5" s="32" t="s">
        <v>390</v>
      </c>
    </row>
    <row r="6" spans="1:20" x14ac:dyDescent="0.25">
      <c r="A6" s="12" t="s">
        <v>931</v>
      </c>
      <c r="B6" s="13" t="s">
        <v>349</v>
      </c>
      <c r="C6" s="12" t="s">
        <v>148</v>
      </c>
      <c r="D6" s="12">
        <v>35</v>
      </c>
      <c r="G6" s="12">
        <v>1</v>
      </c>
      <c r="H6" s="12">
        <v>1</v>
      </c>
      <c r="I6" s="12" t="s">
        <v>931</v>
      </c>
      <c r="J6" s="13" t="s">
        <v>349</v>
      </c>
      <c r="K6" s="12" t="s">
        <v>148</v>
      </c>
      <c r="M6" s="12">
        <v>35</v>
      </c>
      <c r="P6" s="12">
        <v>1</v>
      </c>
      <c r="Q6" s="12">
        <v>1</v>
      </c>
      <c r="S6" s="12" t="s">
        <v>29</v>
      </c>
      <c r="T6" s="12" t="s">
        <v>29</v>
      </c>
    </row>
    <row r="7" spans="1:20" s="14" customFormat="1" x14ac:dyDescent="0.25">
      <c r="A7" s="14" t="s">
        <v>932</v>
      </c>
      <c r="B7" s="15" t="s">
        <v>933</v>
      </c>
      <c r="C7" s="14" t="s">
        <v>106</v>
      </c>
      <c r="D7" s="14">
        <v>9</v>
      </c>
      <c r="G7" s="14">
        <v>1</v>
      </c>
      <c r="H7" s="14">
        <v>1</v>
      </c>
      <c r="I7" s="14" t="s">
        <v>932</v>
      </c>
      <c r="J7" s="15" t="s">
        <v>694</v>
      </c>
      <c r="K7" s="14" t="s">
        <v>106</v>
      </c>
      <c r="M7" s="14">
        <v>9</v>
      </c>
      <c r="P7" s="14">
        <v>1</v>
      </c>
      <c r="Q7" s="14">
        <v>1</v>
      </c>
      <c r="S7" s="14" t="s">
        <v>29</v>
      </c>
      <c r="T7" s="32" t="s">
        <v>390</v>
      </c>
    </row>
    <row r="8" spans="1:20" x14ac:dyDescent="0.25">
      <c r="A8" s="12" t="s">
        <v>934</v>
      </c>
      <c r="B8" s="13" t="s">
        <v>935</v>
      </c>
      <c r="C8" s="12" t="s">
        <v>350</v>
      </c>
      <c r="D8" s="12">
        <v>35</v>
      </c>
      <c r="G8" s="12">
        <v>1</v>
      </c>
      <c r="H8" s="12">
        <v>1</v>
      </c>
      <c r="I8" s="12" t="s">
        <v>934</v>
      </c>
      <c r="J8" s="13" t="s">
        <v>860</v>
      </c>
      <c r="K8" s="12" t="s">
        <v>350</v>
      </c>
      <c r="M8" s="12">
        <v>35</v>
      </c>
      <c r="P8" s="12">
        <v>1</v>
      </c>
      <c r="Q8" s="12">
        <v>1</v>
      </c>
      <c r="S8" s="12" t="s">
        <v>29</v>
      </c>
      <c r="T8" s="12" t="s">
        <v>29</v>
      </c>
    </row>
    <row r="9" spans="1:20" x14ac:dyDescent="0.25">
      <c r="A9" s="12" t="s">
        <v>936</v>
      </c>
      <c r="B9" s="13" t="s">
        <v>937</v>
      </c>
      <c r="C9" s="12" t="s">
        <v>352</v>
      </c>
      <c r="D9" s="12">
        <v>35</v>
      </c>
      <c r="G9" s="12">
        <v>1</v>
      </c>
      <c r="H9" s="12">
        <v>1</v>
      </c>
      <c r="I9" s="12" t="s">
        <v>936</v>
      </c>
      <c r="J9" s="13" t="s">
        <v>938</v>
      </c>
      <c r="K9" s="12" t="s">
        <v>352</v>
      </c>
      <c r="M9" s="12">
        <v>35</v>
      </c>
      <c r="P9" s="12">
        <v>1</v>
      </c>
      <c r="Q9" s="12">
        <v>1</v>
      </c>
      <c r="S9" s="12" t="s">
        <v>29</v>
      </c>
      <c r="T9" s="12" t="s">
        <v>939</v>
      </c>
    </row>
    <row r="10" spans="1:20" x14ac:dyDescent="0.25">
      <c r="A10" s="12" t="s">
        <v>940</v>
      </c>
      <c r="B10" s="13" t="s">
        <v>941</v>
      </c>
      <c r="C10" s="12" t="s">
        <v>355</v>
      </c>
      <c r="E10" s="12">
        <v>19</v>
      </c>
      <c r="G10" s="12">
        <v>0</v>
      </c>
      <c r="H10" s="12">
        <v>1</v>
      </c>
      <c r="I10" s="12" t="s">
        <v>940</v>
      </c>
      <c r="J10" s="13" t="s">
        <v>942</v>
      </c>
      <c r="K10" s="12" t="s">
        <v>355</v>
      </c>
      <c r="N10" s="12">
        <v>19</v>
      </c>
      <c r="P10" s="12">
        <v>0</v>
      </c>
      <c r="Q10" s="12">
        <v>1</v>
      </c>
      <c r="S10" s="12" t="s">
        <v>29</v>
      </c>
      <c r="T10" s="12" t="s">
        <v>29</v>
      </c>
    </row>
    <row r="11" spans="1:20" x14ac:dyDescent="0.25">
      <c r="A11" s="12" t="s">
        <v>943</v>
      </c>
      <c r="B11" s="13" t="s">
        <v>944</v>
      </c>
      <c r="C11" s="12" t="s">
        <v>360</v>
      </c>
      <c r="D11" s="12">
        <v>35</v>
      </c>
      <c r="G11" s="12">
        <v>1</v>
      </c>
      <c r="H11" s="12">
        <v>1</v>
      </c>
      <c r="I11" s="12" t="s">
        <v>943</v>
      </c>
      <c r="J11" s="13" t="s">
        <v>945</v>
      </c>
      <c r="K11" s="12" t="s">
        <v>360</v>
      </c>
      <c r="M11" s="12">
        <v>35</v>
      </c>
      <c r="P11" s="12">
        <v>1</v>
      </c>
      <c r="Q11" s="12">
        <v>1</v>
      </c>
      <c r="S11" s="12" t="s">
        <v>29</v>
      </c>
      <c r="T11" s="12" t="s">
        <v>29</v>
      </c>
    </row>
    <row r="12" spans="1:20" x14ac:dyDescent="0.25">
      <c r="A12" s="12" t="s">
        <v>946</v>
      </c>
      <c r="B12" s="13" t="s">
        <v>947</v>
      </c>
      <c r="C12" s="12" t="s">
        <v>692</v>
      </c>
      <c r="D12" s="12">
        <v>35</v>
      </c>
      <c r="G12" s="12">
        <v>0</v>
      </c>
      <c r="H12" s="12">
        <v>1</v>
      </c>
      <c r="I12" s="12" t="s">
        <v>946</v>
      </c>
      <c r="J12" s="13" t="s">
        <v>948</v>
      </c>
      <c r="K12" s="12" t="s">
        <v>692</v>
      </c>
      <c r="M12" s="12">
        <v>35</v>
      </c>
      <c r="P12" s="12">
        <v>0</v>
      </c>
      <c r="Q12" s="12">
        <v>1</v>
      </c>
      <c r="S12" s="12" t="s">
        <v>29</v>
      </c>
      <c r="T12" s="12" t="s">
        <v>29</v>
      </c>
    </row>
    <row r="13" spans="1:20" x14ac:dyDescent="0.25">
      <c r="A13" s="12" t="s">
        <v>949</v>
      </c>
      <c r="B13" s="13" t="s">
        <v>950</v>
      </c>
      <c r="C13" s="12" t="s">
        <v>363</v>
      </c>
      <c r="D13" s="12">
        <v>35</v>
      </c>
      <c r="G13" s="12">
        <v>1</v>
      </c>
      <c r="H13" s="12">
        <v>1</v>
      </c>
      <c r="I13" s="12" t="s">
        <v>949</v>
      </c>
      <c r="J13" s="13" t="s">
        <v>951</v>
      </c>
      <c r="K13" s="12" t="s">
        <v>363</v>
      </c>
      <c r="M13" s="12">
        <v>35</v>
      </c>
      <c r="P13" s="12">
        <v>1</v>
      </c>
      <c r="Q13" s="12">
        <v>1</v>
      </c>
      <c r="S13" s="12" t="s">
        <v>29</v>
      </c>
      <c r="T13" s="12" t="s">
        <v>29</v>
      </c>
    </row>
    <row r="14" spans="1:20" x14ac:dyDescent="0.25">
      <c r="A14" s="12" t="s">
        <v>952</v>
      </c>
      <c r="B14" s="13" t="s">
        <v>953</v>
      </c>
      <c r="C14" s="12" t="s">
        <v>954</v>
      </c>
      <c r="D14" s="12">
        <v>35</v>
      </c>
      <c r="G14" s="12">
        <v>1</v>
      </c>
      <c r="H14" s="12">
        <v>1</v>
      </c>
      <c r="I14" s="12" t="s">
        <v>952</v>
      </c>
      <c r="J14" s="13" t="s">
        <v>955</v>
      </c>
      <c r="K14" s="12" t="s">
        <v>954</v>
      </c>
      <c r="M14" s="12">
        <v>35</v>
      </c>
      <c r="P14" s="12">
        <v>1</v>
      </c>
      <c r="Q14" s="12">
        <v>1</v>
      </c>
      <c r="S14" s="12" t="s">
        <v>29</v>
      </c>
      <c r="T14" s="12" t="s">
        <v>29</v>
      </c>
    </row>
    <row r="15" spans="1:20" x14ac:dyDescent="0.25">
      <c r="A15" s="12" t="s">
        <v>956</v>
      </c>
      <c r="B15" s="13" t="s">
        <v>957</v>
      </c>
      <c r="C15" s="12" t="s">
        <v>726</v>
      </c>
      <c r="F15" s="12">
        <v>18</v>
      </c>
      <c r="G15" s="12">
        <v>1</v>
      </c>
      <c r="H15" s="12">
        <v>1</v>
      </c>
      <c r="I15" s="12" t="s">
        <v>956</v>
      </c>
      <c r="J15" s="13" t="s">
        <v>958</v>
      </c>
      <c r="K15" s="12" t="s">
        <v>726</v>
      </c>
      <c r="O15" s="12">
        <v>18</v>
      </c>
      <c r="P15" s="12">
        <v>1</v>
      </c>
      <c r="Q15" s="12">
        <v>1</v>
      </c>
      <c r="S15" s="12" t="s">
        <v>29</v>
      </c>
      <c r="T15" s="12" t="s">
        <v>29</v>
      </c>
    </row>
    <row r="16" spans="1:20" x14ac:dyDescent="0.25">
      <c r="A16" s="12" t="s">
        <v>959</v>
      </c>
      <c r="B16" s="13" t="s">
        <v>960</v>
      </c>
      <c r="C16" s="12" t="s">
        <v>54</v>
      </c>
      <c r="D16" s="12">
        <v>3</v>
      </c>
      <c r="I16" s="12" t="s">
        <v>959</v>
      </c>
      <c r="J16" s="13" t="s">
        <v>961</v>
      </c>
      <c r="K16" s="12" t="s">
        <v>54</v>
      </c>
      <c r="N16" s="12">
        <v>3</v>
      </c>
      <c r="S16" s="12" t="s">
        <v>29</v>
      </c>
      <c r="T16" s="12" t="s">
        <v>29</v>
      </c>
    </row>
    <row r="17" spans="1:20" x14ac:dyDescent="0.25">
      <c r="A17" s="12" t="s">
        <v>962</v>
      </c>
      <c r="B17" s="13" t="s">
        <v>963</v>
      </c>
      <c r="C17" s="12" t="s">
        <v>733</v>
      </c>
      <c r="E17" s="12">
        <v>10</v>
      </c>
      <c r="G17" s="12">
        <v>1</v>
      </c>
      <c r="H17" s="12">
        <v>1</v>
      </c>
      <c r="I17" s="12" t="s">
        <v>962</v>
      </c>
      <c r="J17" s="13" t="s">
        <v>964</v>
      </c>
      <c r="K17" s="12" t="s">
        <v>733</v>
      </c>
      <c r="N17" s="12">
        <v>10</v>
      </c>
      <c r="P17" s="12">
        <v>1</v>
      </c>
      <c r="Q17" s="12">
        <v>1</v>
      </c>
      <c r="S17" s="12" t="s">
        <v>29</v>
      </c>
      <c r="T17" s="12" t="s">
        <v>29</v>
      </c>
    </row>
    <row r="18" spans="1:20" x14ac:dyDescent="0.25">
      <c r="A18" s="12" t="s">
        <v>965</v>
      </c>
      <c r="B18" s="13" t="s">
        <v>966</v>
      </c>
      <c r="C18" s="12" t="s">
        <v>117</v>
      </c>
      <c r="D18" s="12">
        <v>140</v>
      </c>
      <c r="G18" s="12">
        <v>0</v>
      </c>
      <c r="H18" s="12">
        <v>1</v>
      </c>
      <c r="I18" s="12" t="s">
        <v>965</v>
      </c>
      <c r="J18" s="13" t="s">
        <v>967</v>
      </c>
      <c r="K18" s="12" t="s">
        <v>117</v>
      </c>
      <c r="M18" s="12">
        <v>140</v>
      </c>
      <c r="P18" s="12">
        <v>0</v>
      </c>
      <c r="Q18" s="12">
        <v>1</v>
      </c>
      <c r="S18" s="12" t="s">
        <v>29</v>
      </c>
      <c r="T18" s="12" t="s">
        <v>29</v>
      </c>
    </row>
    <row r="19" spans="1:20" x14ac:dyDescent="0.25">
      <c r="A19" s="12" t="s">
        <v>968</v>
      </c>
      <c r="B19" s="13" t="s">
        <v>945</v>
      </c>
      <c r="C19" s="12" t="s">
        <v>148</v>
      </c>
      <c r="D19" s="12">
        <v>9</v>
      </c>
      <c r="G19" s="12">
        <v>1</v>
      </c>
      <c r="H19" s="12">
        <v>1</v>
      </c>
      <c r="I19" s="12" t="s">
        <v>968</v>
      </c>
      <c r="J19" s="13" t="s">
        <v>969</v>
      </c>
      <c r="K19" s="12" t="s">
        <v>148</v>
      </c>
      <c r="M19" s="12">
        <v>9</v>
      </c>
      <c r="P19" s="12">
        <v>1</v>
      </c>
      <c r="Q19" s="12">
        <v>1</v>
      </c>
      <c r="S19" s="12" t="s">
        <v>29</v>
      </c>
      <c r="T19" s="12" t="s">
        <v>29</v>
      </c>
    </row>
    <row r="20" spans="1:20" x14ac:dyDescent="0.25">
      <c r="A20" s="12" t="s">
        <v>970</v>
      </c>
      <c r="B20" s="13" t="s">
        <v>971</v>
      </c>
      <c r="C20" s="12" t="s">
        <v>40</v>
      </c>
      <c r="G20" s="12">
        <v>1</v>
      </c>
      <c r="H20" s="12">
        <v>1</v>
      </c>
      <c r="I20" s="12" t="s">
        <v>970</v>
      </c>
      <c r="J20" s="13" t="s">
        <v>972</v>
      </c>
      <c r="K20" s="12" t="s">
        <v>40</v>
      </c>
      <c r="M20" s="12">
        <v>4</v>
      </c>
      <c r="P20" s="12">
        <v>1</v>
      </c>
      <c r="Q20" s="12">
        <v>1</v>
      </c>
      <c r="S20" s="12" t="s">
        <v>29</v>
      </c>
      <c r="T20" s="12" t="s">
        <v>973</v>
      </c>
    </row>
    <row r="21" spans="1:20" x14ac:dyDescent="0.25">
      <c r="I21" s="12" t="s">
        <v>974</v>
      </c>
      <c r="J21" s="13" t="s">
        <v>975</v>
      </c>
      <c r="K21" s="12" t="s">
        <v>85</v>
      </c>
      <c r="M21" s="12">
        <v>35</v>
      </c>
      <c r="P21" s="12">
        <v>1</v>
      </c>
      <c r="Q21" s="12">
        <v>1</v>
      </c>
      <c r="R21" s="12" t="s">
        <v>976</v>
      </c>
      <c r="S21" s="12" t="s">
        <v>118</v>
      </c>
      <c r="T21" s="12" t="s">
        <v>973</v>
      </c>
    </row>
    <row r="22" spans="1:20" x14ac:dyDescent="0.25">
      <c r="A22" s="12" t="s">
        <v>977</v>
      </c>
      <c r="B22" s="13" t="s">
        <v>978</v>
      </c>
      <c r="C22" s="12" t="s">
        <v>378</v>
      </c>
      <c r="D22" s="12">
        <v>105</v>
      </c>
      <c r="G22" s="12">
        <v>0</v>
      </c>
      <c r="H22" s="12">
        <v>1</v>
      </c>
      <c r="I22" s="12" t="s">
        <v>977</v>
      </c>
      <c r="J22" s="13" t="s">
        <v>979</v>
      </c>
      <c r="K22" s="12" t="s">
        <v>378</v>
      </c>
      <c r="M22" s="12">
        <v>105</v>
      </c>
      <c r="P22" s="12">
        <v>0</v>
      </c>
      <c r="Q22" s="12">
        <v>1</v>
      </c>
      <c r="S22" s="12" t="s">
        <v>29</v>
      </c>
      <c r="T22" s="12" t="s">
        <v>980</v>
      </c>
    </row>
    <row r="23" spans="1:20" x14ac:dyDescent="0.25">
      <c r="A23" s="12" t="s">
        <v>981</v>
      </c>
      <c r="B23" s="13" t="s">
        <v>982</v>
      </c>
      <c r="C23" s="12" t="s">
        <v>117</v>
      </c>
      <c r="D23" s="12">
        <v>140</v>
      </c>
      <c r="G23" s="12">
        <v>1</v>
      </c>
      <c r="H23" s="12">
        <v>1</v>
      </c>
      <c r="I23" s="12" t="s">
        <v>983</v>
      </c>
      <c r="J23" s="13" t="s">
        <v>984</v>
      </c>
      <c r="K23" s="12" t="s">
        <v>117</v>
      </c>
      <c r="M23" s="12">
        <v>140</v>
      </c>
      <c r="P23" s="12">
        <v>1</v>
      </c>
      <c r="Q23" s="12">
        <v>1</v>
      </c>
      <c r="S23" s="12" t="s">
        <v>29</v>
      </c>
      <c r="T23" s="12" t="s">
        <v>29</v>
      </c>
    </row>
    <row r="24" spans="1:20" x14ac:dyDescent="0.25">
      <c r="A24" s="12" t="s">
        <v>985</v>
      </c>
      <c r="B24" s="13" t="s">
        <v>986</v>
      </c>
      <c r="C24" s="12" t="s">
        <v>122</v>
      </c>
      <c r="D24" s="12">
        <v>70</v>
      </c>
      <c r="G24" s="12">
        <v>1</v>
      </c>
      <c r="H24" s="12">
        <v>1</v>
      </c>
      <c r="I24" s="12" t="s">
        <v>987</v>
      </c>
      <c r="J24" s="13" t="s">
        <v>988</v>
      </c>
      <c r="K24" s="12" t="s">
        <v>122</v>
      </c>
      <c r="M24" s="12">
        <v>70</v>
      </c>
      <c r="P24" s="12">
        <v>1</v>
      </c>
      <c r="Q24" s="12">
        <v>1</v>
      </c>
      <c r="S24" s="12" t="s">
        <v>29</v>
      </c>
      <c r="T24" s="12" t="s">
        <v>29</v>
      </c>
    </row>
    <row r="25" spans="1:20" x14ac:dyDescent="0.25">
      <c r="A25" s="12" t="s">
        <v>989</v>
      </c>
      <c r="B25" s="13" t="s">
        <v>990</v>
      </c>
      <c r="C25" s="12" t="s">
        <v>126</v>
      </c>
      <c r="D25" s="12">
        <v>16</v>
      </c>
      <c r="G25" s="12">
        <v>0</v>
      </c>
      <c r="H25" s="12">
        <v>1</v>
      </c>
      <c r="I25" s="12" t="s">
        <v>991</v>
      </c>
      <c r="J25" s="13" t="s">
        <v>992</v>
      </c>
      <c r="K25" s="12" t="s">
        <v>126</v>
      </c>
      <c r="M25" s="12">
        <v>16</v>
      </c>
      <c r="P25" s="12">
        <v>0</v>
      </c>
      <c r="Q25" s="12">
        <v>1</v>
      </c>
      <c r="S25" s="12" t="s">
        <v>29</v>
      </c>
      <c r="T25" s="12" t="s">
        <v>29</v>
      </c>
    </row>
    <row r="26" spans="1:20" x14ac:dyDescent="0.25">
      <c r="A26" s="12" t="s">
        <v>993</v>
      </c>
      <c r="B26" s="13" t="s">
        <v>994</v>
      </c>
      <c r="C26" s="12" t="s">
        <v>129</v>
      </c>
      <c r="D26" s="12">
        <v>16</v>
      </c>
      <c r="G26" s="12">
        <v>1</v>
      </c>
      <c r="H26" s="12">
        <v>1</v>
      </c>
      <c r="I26" s="12" t="s">
        <v>995</v>
      </c>
      <c r="J26" s="13" t="s">
        <v>996</v>
      </c>
      <c r="K26" s="12" t="s">
        <v>129</v>
      </c>
      <c r="M26" s="12">
        <v>16</v>
      </c>
      <c r="P26" s="12">
        <v>1</v>
      </c>
      <c r="Q26" s="12">
        <v>1</v>
      </c>
      <c r="S26" s="12" t="s">
        <v>29</v>
      </c>
      <c r="T26" s="12" t="s">
        <v>29</v>
      </c>
    </row>
    <row r="27" spans="1:20" x14ac:dyDescent="0.25">
      <c r="A27" s="12" t="s">
        <v>997</v>
      </c>
      <c r="B27" s="13" t="s">
        <v>998</v>
      </c>
      <c r="C27" s="12" t="s">
        <v>132</v>
      </c>
      <c r="D27" s="12">
        <v>35</v>
      </c>
      <c r="G27" s="12">
        <v>1</v>
      </c>
      <c r="H27" s="12">
        <v>1</v>
      </c>
      <c r="I27" s="12" t="s">
        <v>999</v>
      </c>
      <c r="J27" s="13" t="s">
        <v>1000</v>
      </c>
      <c r="K27" s="12" t="s">
        <v>132</v>
      </c>
      <c r="M27" s="12">
        <v>35</v>
      </c>
      <c r="P27" s="12">
        <v>1</v>
      </c>
      <c r="Q27" s="12">
        <v>1</v>
      </c>
      <c r="S27" s="12" t="s">
        <v>29</v>
      </c>
      <c r="T27" s="12" t="s">
        <v>29</v>
      </c>
    </row>
    <row r="28" spans="1:20" x14ac:dyDescent="0.25">
      <c r="I28" s="12" t="s">
        <v>1001</v>
      </c>
      <c r="J28" s="13" t="s">
        <v>1002</v>
      </c>
      <c r="K28" s="12" t="s">
        <v>135</v>
      </c>
      <c r="M28" s="12">
        <v>35</v>
      </c>
      <c r="P28" s="12">
        <v>1</v>
      </c>
      <c r="Q28" s="12">
        <v>1</v>
      </c>
      <c r="R28" s="12" t="s">
        <v>976</v>
      </c>
      <c r="S28" s="12" t="s">
        <v>175</v>
      </c>
      <c r="T28" s="12" t="s">
        <v>597</v>
      </c>
    </row>
    <row r="29" spans="1:20" x14ac:dyDescent="0.25">
      <c r="A29" s="12" t="s">
        <v>1003</v>
      </c>
      <c r="B29" s="13" t="s">
        <v>1004</v>
      </c>
      <c r="C29" s="12" t="s">
        <v>138</v>
      </c>
      <c r="E29" s="12">
        <v>2</v>
      </c>
      <c r="G29" s="12">
        <v>1</v>
      </c>
      <c r="H29" s="12">
        <v>1</v>
      </c>
      <c r="I29" s="12" t="s">
        <v>1005</v>
      </c>
      <c r="J29" s="13" t="s">
        <v>1006</v>
      </c>
      <c r="K29" s="12" t="s">
        <v>138</v>
      </c>
      <c r="N29" s="12">
        <v>2</v>
      </c>
      <c r="P29" s="12">
        <v>1</v>
      </c>
      <c r="Q29" s="12">
        <v>1</v>
      </c>
      <c r="S29" s="12" t="s">
        <v>29</v>
      </c>
      <c r="T29" s="12" t="s">
        <v>29</v>
      </c>
    </row>
    <row r="30" spans="1:20" x14ac:dyDescent="0.25">
      <c r="I30" s="12" t="s">
        <v>1007</v>
      </c>
      <c r="J30" s="13" t="s">
        <v>1008</v>
      </c>
      <c r="K30" s="12" t="s">
        <v>141</v>
      </c>
      <c r="M30" s="12">
        <v>70</v>
      </c>
      <c r="P30" s="12">
        <v>0</v>
      </c>
      <c r="Q30" s="12">
        <v>1</v>
      </c>
      <c r="R30" s="12" t="s">
        <v>976</v>
      </c>
      <c r="S30" s="12" t="s">
        <v>118</v>
      </c>
      <c r="T30" s="12" t="s">
        <v>183</v>
      </c>
    </row>
    <row r="31" spans="1:20" x14ac:dyDescent="0.25">
      <c r="I31" s="12" t="s">
        <v>1009</v>
      </c>
      <c r="J31" s="13" t="s">
        <v>1010</v>
      </c>
      <c r="K31" s="12" t="s">
        <v>144</v>
      </c>
      <c r="P31" s="12">
        <v>0</v>
      </c>
      <c r="Q31" s="12">
        <v>1</v>
      </c>
      <c r="R31" s="12" t="s">
        <v>976</v>
      </c>
      <c r="S31" s="12" t="s">
        <v>118</v>
      </c>
      <c r="T31" s="12" t="s">
        <v>151</v>
      </c>
    </row>
    <row r="32" spans="1:20" x14ac:dyDescent="0.25">
      <c r="A32" s="12" t="s">
        <v>1011</v>
      </c>
      <c r="B32" s="13" t="s">
        <v>1012</v>
      </c>
      <c r="C32" s="12" t="s">
        <v>188</v>
      </c>
      <c r="E32" s="12">
        <v>10</v>
      </c>
      <c r="G32" s="12">
        <v>1</v>
      </c>
      <c r="H32" s="12">
        <v>1</v>
      </c>
      <c r="I32" s="12" t="s">
        <v>1013</v>
      </c>
      <c r="J32" s="13" t="s">
        <v>1014</v>
      </c>
      <c r="K32" s="12" t="s">
        <v>188</v>
      </c>
      <c r="N32" s="12">
        <v>10</v>
      </c>
      <c r="P32" s="12">
        <v>1</v>
      </c>
      <c r="Q32" s="12">
        <v>1</v>
      </c>
      <c r="S32" s="12" t="s">
        <v>29</v>
      </c>
      <c r="T32" s="12" t="s">
        <v>29</v>
      </c>
    </row>
    <row r="33" spans="1:20" x14ac:dyDescent="0.25">
      <c r="A33" s="12" t="s">
        <v>1015</v>
      </c>
      <c r="B33" s="13" t="s">
        <v>1016</v>
      </c>
      <c r="C33" s="12" t="s">
        <v>193</v>
      </c>
      <c r="D33" s="12">
        <v>35</v>
      </c>
      <c r="G33" s="12">
        <v>1</v>
      </c>
      <c r="H33" s="12">
        <v>1</v>
      </c>
      <c r="I33" s="12" t="s">
        <v>1017</v>
      </c>
      <c r="J33" s="13" t="s">
        <v>1018</v>
      </c>
      <c r="K33" s="12" t="s">
        <v>193</v>
      </c>
      <c r="M33" s="12">
        <v>35</v>
      </c>
      <c r="P33" s="12">
        <v>1</v>
      </c>
      <c r="Q33" s="12">
        <v>1</v>
      </c>
      <c r="S33" s="12" t="s">
        <v>29</v>
      </c>
      <c r="T33" s="12" t="s">
        <v>29</v>
      </c>
    </row>
    <row r="34" spans="1:20" x14ac:dyDescent="0.25">
      <c r="A34" s="12" t="s">
        <v>1019</v>
      </c>
      <c r="B34" s="13" t="s">
        <v>1020</v>
      </c>
      <c r="C34" s="12" t="s">
        <v>198</v>
      </c>
      <c r="E34" s="12">
        <v>2</v>
      </c>
      <c r="G34" s="12">
        <v>1</v>
      </c>
      <c r="H34" s="12">
        <v>1</v>
      </c>
      <c r="I34" s="12" t="s">
        <v>1021</v>
      </c>
      <c r="J34" s="13" t="s">
        <v>1022</v>
      </c>
      <c r="K34" s="12" t="s">
        <v>198</v>
      </c>
      <c r="N34" s="12">
        <v>2</v>
      </c>
      <c r="P34" s="12">
        <v>1</v>
      </c>
      <c r="Q34" s="12">
        <v>1</v>
      </c>
      <c r="S34" s="12" t="s">
        <v>29</v>
      </c>
      <c r="T34" s="12" t="s">
        <v>29</v>
      </c>
    </row>
    <row r="35" spans="1:20" x14ac:dyDescent="0.25">
      <c r="A35" s="12" t="s">
        <v>1023</v>
      </c>
      <c r="B35" s="13" t="s">
        <v>1024</v>
      </c>
      <c r="C35" s="12" t="s">
        <v>117</v>
      </c>
      <c r="D35" s="12">
        <v>140</v>
      </c>
      <c r="G35" s="12">
        <v>1</v>
      </c>
      <c r="H35" s="12">
        <v>1</v>
      </c>
      <c r="I35" s="12" t="s">
        <v>1025</v>
      </c>
      <c r="J35" s="13" t="s">
        <v>1026</v>
      </c>
      <c r="K35" s="12" t="s">
        <v>117</v>
      </c>
      <c r="M35" s="12">
        <v>140</v>
      </c>
      <c r="P35" s="12">
        <v>1</v>
      </c>
      <c r="Q35" s="12">
        <v>1</v>
      </c>
      <c r="S35" s="12" t="s">
        <v>29</v>
      </c>
      <c r="T35" s="12" t="s">
        <v>29</v>
      </c>
    </row>
    <row r="36" spans="1:20" x14ac:dyDescent="0.25">
      <c r="A36" s="12" t="s">
        <v>1027</v>
      </c>
      <c r="B36" s="13" t="s">
        <v>1028</v>
      </c>
      <c r="C36" s="12" t="s">
        <v>122</v>
      </c>
      <c r="D36" s="12">
        <v>70</v>
      </c>
      <c r="G36" s="12">
        <v>1</v>
      </c>
      <c r="H36" s="12">
        <v>1</v>
      </c>
      <c r="I36" s="12" t="s">
        <v>1029</v>
      </c>
      <c r="J36" s="13" t="s">
        <v>1030</v>
      </c>
      <c r="K36" s="12" t="s">
        <v>122</v>
      </c>
      <c r="M36" s="12">
        <v>70</v>
      </c>
      <c r="P36" s="12">
        <v>1</v>
      </c>
      <c r="Q36" s="12">
        <v>1</v>
      </c>
      <c r="S36" s="12" t="s">
        <v>29</v>
      </c>
      <c r="T36" s="12" t="s">
        <v>29</v>
      </c>
    </row>
    <row r="37" spans="1:20" x14ac:dyDescent="0.25">
      <c r="A37" s="12" t="s">
        <v>1031</v>
      </c>
      <c r="B37" s="13" t="s">
        <v>1032</v>
      </c>
      <c r="C37" s="12" t="s">
        <v>126</v>
      </c>
      <c r="D37" s="12">
        <v>16</v>
      </c>
      <c r="G37" s="12">
        <v>0</v>
      </c>
      <c r="H37" s="12">
        <v>1</v>
      </c>
      <c r="I37" s="12" t="s">
        <v>1033</v>
      </c>
      <c r="J37" s="13" t="s">
        <v>1034</v>
      </c>
      <c r="K37" s="12" t="s">
        <v>126</v>
      </c>
      <c r="M37" s="12">
        <v>16</v>
      </c>
      <c r="P37" s="12">
        <v>0</v>
      </c>
      <c r="Q37" s="12">
        <v>1</v>
      </c>
      <c r="S37" s="12" t="s">
        <v>29</v>
      </c>
      <c r="T37" s="12" t="s">
        <v>29</v>
      </c>
    </row>
    <row r="38" spans="1:20" x14ac:dyDescent="0.25">
      <c r="A38" s="12" t="s">
        <v>1035</v>
      </c>
      <c r="B38" s="13" t="s">
        <v>1036</v>
      </c>
      <c r="C38" s="12" t="s">
        <v>129</v>
      </c>
      <c r="D38" s="12">
        <v>16</v>
      </c>
      <c r="G38" s="12">
        <v>1</v>
      </c>
      <c r="H38" s="12">
        <v>1</v>
      </c>
      <c r="I38" s="12" t="s">
        <v>1037</v>
      </c>
      <c r="J38" s="13" t="s">
        <v>1038</v>
      </c>
      <c r="K38" s="12" t="s">
        <v>129</v>
      </c>
      <c r="M38" s="12">
        <v>16</v>
      </c>
      <c r="P38" s="12">
        <v>1</v>
      </c>
      <c r="Q38" s="12">
        <v>1</v>
      </c>
      <c r="S38" s="12" t="s">
        <v>29</v>
      </c>
      <c r="T38" s="12" t="s">
        <v>29</v>
      </c>
    </row>
    <row r="39" spans="1:20" x14ac:dyDescent="0.25">
      <c r="A39" s="12" t="s">
        <v>1039</v>
      </c>
      <c r="B39" s="13" t="s">
        <v>1040</v>
      </c>
      <c r="C39" s="12" t="s">
        <v>132</v>
      </c>
      <c r="D39" s="12">
        <v>35</v>
      </c>
      <c r="G39" s="12">
        <v>1</v>
      </c>
      <c r="H39" s="12">
        <v>1</v>
      </c>
      <c r="I39" s="12" t="s">
        <v>1041</v>
      </c>
      <c r="J39" s="13" t="s">
        <v>1042</v>
      </c>
      <c r="K39" s="12" t="s">
        <v>132</v>
      </c>
      <c r="M39" s="12">
        <v>35</v>
      </c>
      <c r="P39" s="12">
        <v>1</v>
      </c>
      <c r="Q39" s="12">
        <v>1</v>
      </c>
      <c r="S39" s="12" t="s">
        <v>29</v>
      </c>
      <c r="T39" s="12" t="s">
        <v>29</v>
      </c>
    </row>
    <row r="40" spans="1:20" x14ac:dyDescent="0.25">
      <c r="I40" s="12" t="s">
        <v>1043</v>
      </c>
      <c r="J40" s="13" t="s">
        <v>1044</v>
      </c>
      <c r="K40" s="12" t="s">
        <v>135</v>
      </c>
      <c r="M40" s="12">
        <v>35</v>
      </c>
      <c r="P40" s="12">
        <v>1</v>
      </c>
      <c r="Q40" s="12">
        <v>1</v>
      </c>
      <c r="R40" s="12" t="s">
        <v>976</v>
      </c>
      <c r="S40" s="12" t="s">
        <v>175</v>
      </c>
      <c r="T40" s="12" t="s">
        <v>338</v>
      </c>
    </row>
    <row r="41" spans="1:20" x14ac:dyDescent="0.25">
      <c r="A41" s="12" t="s">
        <v>1045</v>
      </c>
      <c r="B41" s="13" t="s">
        <v>1046</v>
      </c>
      <c r="C41" s="12" t="s">
        <v>138</v>
      </c>
      <c r="E41" s="12">
        <v>2</v>
      </c>
      <c r="G41" s="12">
        <v>1</v>
      </c>
      <c r="H41" s="12">
        <v>1</v>
      </c>
      <c r="I41" s="12" t="s">
        <v>1047</v>
      </c>
      <c r="J41" s="13" t="s">
        <v>1048</v>
      </c>
      <c r="K41" s="12" t="s">
        <v>138</v>
      </c>
      <c r="N41" s="12">
        <v>2</v>
      </c>
      <c r="P41" s="12">
        <v>1</v>
      </c>
      <c r="Q41" s="12">
        <v>1</v>
      </c>
      <c r="S41" s="12" t="s">
        <v>29</v>
      </c>
      <c r="T41" s="12" t="s">
        <v>29</v>
      </c>
    </row>
    <row r="42" spans="1:20" x14ac:dyDescent="0.25">
      <c r="I42" s="12" t="s">
        <v>1049</v>
      </c>
      <c r="J42" s="13" t="s">
        <v>1050</v>
      </c>
      <c r="K42" s="12" t="s">
        <v>141</v>
      </c>
      <c r="M42" s="12">
        <v>70</v>
      </c>
      <c r="P42" s="12">
        <v>0</v>
      </c>
      <c r="Q42" s="12">
        <v>1</v>
      </c>
      <c r="R42" s="12" t="s">
        <v>976</v>
      </c>
      <c r="S42" s="12" t="s">
        <v>118</v>
      </c>
      <c r="T42" s="12" t="s">
        <v>244</v>
      </c>
    </row>
    <row r="43" spans="1:20" x14ac:dyDescent="0.25">
      <c r="I43" s="12" t="s">
        <v>1051</v>
      </c>
      <c r="J43" s="13" t="s">
        <v>1052</v>
      </c>
      <c r="K43" s="12" t="s">
        <v>144</v>
      </c>
      <c r="P43" s="12">
        <v>0</v>
      </c>
      <c r="Q43" s="12">
        <v>1</v>
      </c>
      <c r="R43" s="12" t="s">
        <v>976</v>
      </c>
      <c r="S43" s="12" t="s">
        <v>118</v>
      </c>
      <c r="T43" s="12" t="s">
        <v>151</v>
      </c>
    </row>
    <row r="44" spans="1:20" x14ac:dyDescent="0.25">
      <c r="A44" s="12" t="s">
        <v>1053</v>
      </c>
      <c r="B44" s="13" t="s">
        <v>1054</v>
      </c>
      <c r="C44" s="12" t="s">
        <v>188</v>
      </c>
      <c r="E44" s="12">
        <v>10</v>
      </c>
      <c r="G44" s="12">
        <v>1</v>
      </c>
      <c r="H44" s="12">
        <v>1</v>
      </c>
      <c r="I44" s="12" t="s">
        <v>1055</v>
      </c>
      <c r="J44" s="13" t="s">
        <v>1056</v>
      </c>
      <c r="K44" s="12" t="s">
        <v>188</v>
      </c>
      <c r="N44" s="12">
        <v>10</v>
      </c>
      <c r="P44" s="12">
        <v>1</v>
      </c>
      <c r="Q44" s="12">
        <v>1</v>
      </c>
      <c r="S44" s="12" t="s">
        <v>29</v>
      </c>
      <c r="T44" s="12" t="s">
        <v>29</v>
      </c>
    </row>
    <row r="45" spans="1:20" x14ac:dyDescent="0.25">
      <c r="A45" s="12" t="s">
        <v>1057</v>
      </c>
      <c r="B45" s="13" t="s">
        <v>1058</v>
      </c>
      <c r="C45" s="12" t="s">
        <v>193</v>
      </c>
      <c r="D45" s="12">
        <v>35</v>
      </c>
      <c r="G45" s="12">
        <v>1</v>
      </c>
      <c r="H45" s="12">
        <v>1</v>
      </c>
      <c r="I45" s="12" t="s">
        <v>1059</v>
      </c>
      <c r="J45" s="13" t="s">
        <v>1060</v>
      </c>
      <c r="K45" s="12" t="s">
        <v>193</v>
      </c>
      <c r="M45" s="12">
        <v>35</v>
      </c>
      <c r="P45" s="12">
        <v>1</v>
      </c>
      <c r="Q45" s="12">
        <v>1</v>
      </c>
      <c r="S45" s="12" t="s">
        <v>29</v>
      </c>
      <c r="T45" s="12" t="s">
        <v>29</v>
      </c>
    </row>
    <row r="46" spans="1:20" x14ac:dyDescent="0.25">
      <c r="A46" s="12" t="s">
        <v>1061</v>
      </c>
      <c r="B46" s="13" t="s">
        <v>1062</v>
      </c>
      <c r="C46" s="12" t="s">
        <v>198</v>
      </c>
      <c r="E46" s="12">
        <v>2</v>
      </c>
      <c r="G46" s="12">
        <v>1</v>
      </c>
      <c r="H46" s="12">
        <v>1</v>
      </c>
      <c r="I46" s="12" t="s">
        <v>1063</v>
      </c>
      <c r="J46" s="13" t="s">
        <v>1064</v>
      </c>
      <c r="K46" s="12" t="s">
        <v>198</v>
      </c>
      <c r="N46" s="12">
        <v>2</v>
      </c>
      <c r="P46" s="12">
        <v>1</v>
      </c>
      <c r="Q46" s="12">
        <v>1</v>
      </c>
      <c r="S46" s="12" t="s">
        <v>29</v>
      </c>
      <c r="T46" s="12" t="s">
        <v>29</v>
      </c>
    </row>
    <row r="47" spans="1:20" x14ac:dyDescent="0.25">
      <c r="I47" s="12" t="s">
        <v>1065</v>
      </c>
      <c r="J47" s="13" t="s">
        <v>1066</v>
      </c>
      <c r="K47" s="12" t="s">
        <v>558</v>
      </c>
      <c r="P47" s="12">
        <v>0</v>
      </c>
      <c r="Q47" s="12">
        <v>1</v>
      </c>
      <c r="R47" s="12" t="s">
        <v>976</v>
      </c>
      <c r="S47" s="12" t="s">
        <v>118</v>
      </c>
      <c r="T47" s="12" t="s">
        <v>151</v>
      </c>
    </row>
    <row r="48" spans="1:20" x14ac:dyDescent="0.25">
      <c r="A48" s="32"/>
      <c r="B48" s="32"/>
      <c r="C48" s="32"/>
      <c r="D48" s="32"/>
      <c r="E48" s="32"/>
      <c r="F48" s="32"/>
      <c r="G48" s="32"/>
      <c r="H48" s="32"/>
      <c r="I48" s="32"/>
      <c r="J48" s="32"/>
      <c r="K48" s="32"/>
      <c r="M48" s="32"/>
      <c r="N48" s="32"/>
      <c r="O48" s="32"/>
      <c r="P48" s="32"/>
      <c r="Q48" s="32"/>
      <c r="R48" s="32"/>
      <c r="S48" s="32"/>
      <c r="T48" s="32"/>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K22"/>
  <sheetViews>
    <sheetView topLeftCell="J1" zoomScale="75" zoomScaleNormal="75" workbookViewId="0">
      <pane ySplit="1" topLeftCell="A2" activePane="bottomLeft" state="frozen"/>
      <selection activeCell="J1" sqref="J1"/>
      <selection pane="bottomLeft" activeCell="K10" sqref="K10"/>
    </sheetView>
  </sheetViews>
  <sheetFormatPr defaultRowHeight="15" x14ac:dyDescent="0.25"/>
  <cols>
    <col min="1" max="1" width="90" style="12" customWidth="1"/>
    <col min="2" max="8" width="8.7109375" style="12" customWidth="1"/>
    <col min="9" max="9" width="72.28515625" style="12" customWidth="1"/>
    <col min="10" max="10" width="15.28515625" style="12" customWidth="1"/>
    <col min="11" max="11" width="8.7109375" style="12" customWidth="1"/>
    <col min="12" max="12" width="11.5703125" style="12" hidden="1"/>
    <col min="13" max="17" width="8.7109375" style="12" customWidth="1"/>
    <col min="18" max="18" width="14.7109375" style="12" customWidth="1"/>
    <col min="19" max="19" width="21.28515625" style="12" customWidth="1"/>
    <col min="20" max="20" width="22.42578125" style="12" customWidth="1"/>
    <col min="21" max="1025" width="8.7109375" style="12" customWidth="1"/>
  </cols>
  <sheetData>
    <row r="1" spans="1:20"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344</v>
      </c>
      <c r="T1" s="11" t="s">
        <v>345</v>
      </c>
    </row>
    <row r="2" spans="1:20" x14ac:dyDescent="0.25">
      <c r="A2" s="12" t="s">
        <v>1067</v>
      </c>
      <c r="B2" s="13" t="s">
        <v>26</v>
      </c>
      <c r="C2" s="12" t="s">
        <v>148</v>
      </c>
      <c r="D2" s="12">
        <v>35</v>
      </c>
      <c r="G2" s="12">
        <v>1</v>
      </c>
      <c r="H2" s="12">
        <v>1</v>
      </c>
      <c r="I2" s="12" t="s">
        <v>1067</v>
      </c>
      <c r="J2" s="13" t="s">
        <v>26</v>
      </c>
      <c r="K2" s="12" t="s">
        <v>148</v>
      </c>
      <c r="M2" s="12">
        <v>35</v>
      </c>
      <c r="P2" s="12">
        <v>1</v>
      </c>
      <c r="Q2" s="12">
        <v>1</v>
      </c>
      <c r="S2" s="12" t="s">
        <v>29</v>
      </c>
      <c r="T2" s="12" t="s">
        <v>29</v>
      </c>
    </row>
    <row r="3" spans="1:20" s="14" customFormat="1" x14ac:dyDescent="0.25">
      <c r="A3" s="14" t="s">
        <v>1068</v>
      </c>
      <c r="B3" s="15" t="s">
        <v>670</v>
      </c>
      <c r="C3" s="14" t="s">
        <v>106</v>
      </c>
      <c r="D3" s="14">
        <v>9</v>
      </c>
      <c r="G3" s="14">
        <v>1</v>
      </c>
      <c r="H3" s="14">
        <v>1</v>
      </c>
      <c r="I3" s="14" t="s">
        <v>1068</v>
      </c>
      <c r="J3" s="15" t="s">
        <v>671</v>
      </c>
      <c r="K3" s="14" t="s">
        <v>106</v>
      </c>
      <c r="M3" s="14">
        <v>9</v>
      </c>
      <c r="P3" s="14">
        <v>1</v>
      </c>
      <c r="Q3" s="14">
        <v>1</v>
      </c>
      <c r="S3" s="14" t="s">
        <v>29</v>
      </c>
      <c r="T3" s="52" t="s">
        <v>1069</v>
      </c>
    </row>
    <row r="4" spans="1:20" x14ac:dyDescent="0.25">
      <c r="A4" s="12" t="s">
        <v>1070</v>
      </c>
      <c r="B4" s="13" t="s">
        <v>674</v>
      </c>
      <c r="C4" s="12" t="s">
        <v>36</v>
      </c>
      <c r="E4" s="12">
        <v>19</v>
      </c>
      <c r="G4" s="12">
        <v>1</v>
      </c>
      <c r="H4" s="12">
        <v>1</v>
      </c>
      <c r="I4" s="12" t="s">
        <v>1070</v>
      </c>
      <c r="J4" s="13" t="s">
        <v>675</v>
      </c>
      <c r="K4" s="12" t="s">
        <v>36</v>
      </c>
      <c r="N4" s="12">
        <v>19</v>
      </c>
      <c r="P4" s="12">
        <v>1</v>
      </c>
      <c r="Q4" s="12">
        <v>1</v>
      </c>
      <c r="S4" s="12" t="s">
        <v>29</v>
      </c>
      <c r="T4" s="12" t="s">
        <v>29</v>
      </c>
    </row>
    <row r="5" spans="1:20" s="14" customFormat="1" x14ac:dyDescent="0.25">
      <c r="A5" s="14" t="s">
        <v>1071</v>
      </c>
      <c r="B5" s="15" t="s">
        <v>677</v>
      </c>
      <c r="C5" s="14" t="s">
        <v>106</v>
      </c>
      <c r="D5" s="14">
        <v>9</v>
      </c>
      <c r="G5" s="14">
        <v>1</v>
      </c>
      <c r="H5" s="14">
        <v>1</v>
      </c>
      <c r="I5" s="14" t="s">
        <v>1071</v>
      </c>
      <c r="J5" s="15" t="s">
        <v>678</v>
      </c>
      <c r="K5" s="14" t="s">
        <v>106</v>
      </c>
      <c r="M5" s="14">
        <v>9</v>
      </c>
      <c r="P5" s="14">
        <v>1</v>
      </c>
      <c r="Q5" s="14">
        <v>1</v>
      </c>
      <c r="S5" s="14" t="s">
        <v>29</v>
      </c>
      <c r="T5" s="52" t="s">
        <v>1069</v>
      </c>
    </row>
    <row r="6" spans="1:20" x14ac:dyDescent="0.25">
      <c r="A6" s="12" t="s">
        <v>1072</v>
      </c>
      <c r="B6" s="13" t="s">
        <v>613</v>
      </c>
      <c r="C6" s="12" t="s">
        <v>1073</v>
      </c>
      <c r="G6" s="12">
        <v>1</v>
      </c>
      <c r="H6" s="12">
        <v>1</v>
      </c>
      <c r="I6" s="12" t="s">
        <v>1072</v>
      </c>
      <c r="J6" s="13" t="s">
        <v>613</v>
      </c>
      <c r="K6" s="12" t="s">
        <v>1073</v>
      </c>
      <c r="M6" s="12">
        <v>4</v>
      </c>
      <c r="P6" s="12">
        <v>1</v>
      </c>
      <c r="Q6" s="12">
        <v>1</v>
      </c>
      <c r="S6" s="12" t="s">
        <v>29</v>
      </c>
      <c r="T6" s="12" t="s">
        <v>1074</v>
      </c>
    </row>
    <row r="7" spans="1:20" x14ac:dyDescent="0.25">
      <c r="A7" s="12" t="s">
        <v>1075</v>
      </c>
      <c r="B7" s="13" t="s">
        <v>1076</v>
      </c>
      <c r="C7" s="12" t="s">
        <v>148</v>
      </c>
      <c r="D7" s="12">
        <v>35</v>
      </c>
      <c r="G7" s="12">
        <v>1</v>
      </c>
      <c r="H7" s="12">
        <v>1</v>
      </c>
      <c r="I7" s="12" t="s">
        <v>1075</v>
      </c>
      <c r="J7" s="13" t="s">
        <v>1076</v>
      </c>
      <c r="K7" s="12" t="s">
        <v>148</v>
      </c>
      <c r="M7" s="12">
        <v>35</v>
      </c>
      <c r="P7" s="12">
        <v>1</v>
      </c>
      <c r="Q7" s="12">
        <v>1</v>
      </c>
      <c r="S7" s="12" t="s">
        <v>29</v>
      </c>
      <c r="T7" s="12" t="s">
        <v>29</v>
      </c>
    </row>
    <row r="8" spans="1:20" s="14" customFormat="1" x14ac:dyDescent="0.25">
      <c r="A8" s="14" t="s">
        <v>1077</v>
      </c>
      <c r="B8" s="15" t="s">
        <v>1078</v>
      </c>
      <c r="C8" s="14" t="s">
        <v>106</v>
      </c>
      <c r="D8" s="14">
        <v>9</v>
      </c>
      <c r="G8" s="14">
        <v>1</v>
      </c>
      <c r="H8" s="14">
        <v>1</v>
      </c>
      <c r="I8" s="14" t="s">
        <v>1077</v>
      </c>
      <c r="J8" s="15" t="s">
        <v>1079</v>
      </c>
      <c r="K8" s="14" t="s">
        <v>106</v>
      </c>
      <c r="M8" s="14">
        <v>9</v>
      </c>
      <c r="P8" s="14">
        <v>1</v>
      </c>
      <c r="Q8" s="14">
        <v>1</v>
      </c>
      <c r="S8" s="14" t="s">
        <v>29</v>
      </c>
      <c r="T8" s="52" t="s">
        <v>1080</v>
      </c>
    </row>
    <row r="9" spans="1:20" x14ac:dyDescent="0.25">
      <c r="A9" s="12" t="s">
        <v>1081</v>
      </c>
      <c r="B9" s="13" t="s">
        <v>935</v>
      </c>
      <c r="C9" s="12" t="s">
        <v>350</v>
      </c>
      <c r="D9" s="12">
        <v>35</v>
      </c>
      <c r="G9" s="12">
        <v>1</v>
      </c>
      <c r="H9" s="12">
        <v>1</v>
      </c>
      <c r="I9" s="12" t="s">
        <v>1081</v>
      </c>
      <c r="J9" s="13" t="s">
        <v>860</v>
      </c>
      <c r="K9" s="12" t="s">
        <v>350</v>
      </c>
      <c r="M9" s="12">
        <v>35</v>
      </c>
      <c r="P9" s="12">
        <v>1</v>
      </c>
      <c r="Q9" s="12">
        <v>1</v>
      </c>
      <c r="S9" s="12" t="s">
        <v>29</v>
      </c>
      <c r="T9" s="12" t="s">
        <v>29</v>
      </c>
    </row>
    <row r="10" spans="1:20" x14ac:dyDescent="0.25">
      <c r="A10" s="12" t="s">
        <v>1082</v>
      </c>
      <c r="B10" s="13" t="s">
        <v>937</v>
      </c>
      <c r="C10" s="12" t="s">
        <v>352</v>
      </c>
      <c r="D10" s="12">
        <v>35</v>
      </c>
      <c r="G10" s="12">
        <v>1</v>
      </c>
      <c r="H10" s="12">
        <v>1</v>
      </c>
      <c r="I10" s="12" t="s">
        <v>1082</v>
      </c>
      <c r="J10" s="13" t="s">
        <v>938</v>
      </c>
      <c r="K10" s="12" t="s">
        <v>352</v>
      </c>
      <c r="M10" s="12">
        <v>35</v>
      </c>
      <c r="P10" s="12">
        <v>1</v>
      </c>
      <c r="Q10" s="12">
        <v>1</v>
      </c>
      <c r="S10" s="12" t="s">
        <v>1083</v>
      </c>
      <c r="T10" s="12" t="s">
        <v>1084</v>
      </c>
    </row>
    <row r="11" spans="1:20" x14ac:dyDescent="0.25">
      <c r="A11" s="12" t="s">
        <v>1085</v>
      </c>
      <c r="B11" s="13" t="s">
        <v>941</v>
      </c>
      <c r="C11" s="12" t="s">
        <v>355</v>
      </c>
      <c r="E11" s="12">
        <v>19</v>
      </c>
      <c r="G11" s="12">
        <v>1</v>
      </c>
      <c r="H11" s="12">
        <v>1</v>
      </c>
      <c r="I11" s="12" t="s">
        <v>1085</v>
      </c>
      <c r="J11" s="13" t="s">
        <v>942</v>
      </c>
      <c r="K11" s="12" t="s">
        <v>355</v>
      </c>
      <c r="N11" s="12">
        <v>19</v>
      </c>
      <c r="P11" s="12">
        <v>1</v>
      </c>
      <c r="Q11" s="12">
        <v>1</v>
      </c>
      <c r="S11" s="12" t="s">
        <v>29</v>
      </c>
      <c r="T11" s="12" t="s">
        <v>29</v>
      </c>
    </row>
    <row r="12" spans="1:20" x14ac:dyDescent="0.25">
      <c r="A12" s="12" t="s">
        <v>1086</v>
      </c>
      <c r="B12" s="13" t="s">
        <v>1087</v>
      </c>
      <c r="C12" s="12" t="s">
        <v>40</v>
      </c>
      <c r="G12" s="12">
        <v>1</v>
      </c>
      <c r="H12" s="12">
        <v>1</v>
      </c>
      <c r="I12" s="12" t="s">
        <v>1086</v>
      </c>
      <c r="J12" s="13" t="s">
        <v>1088</v>
      </c>
      <c r="K12" s="12" t="s">
        <v>40</v>
      </c>
      <c r="M12" s="12">
        <v>4</v>
      </c>
      <c r="P12" s="12">
        <v>1</v>
      </c>
      <c r="Q12" s="12">
        <v>1</v>
      </c>
      <c r="S12" s="12" t="s">
        <v>29</v>
      </c>
      <c r="T12" s="12" t="s">
        <v>29</v>
      </c>
    </row>
    <row r="13" spans="1:20" x14ac:dyDescent="0.25">
      <c r="I13" s="12" t="s">
        <v>1089</v>
      </c>
      <c r="J13" s="13" t="s">
        <v>1090</v>
      </c>
      <c r="K13" s="12" t="s">
        <v>1091</v>
      </c>
      <c r="M13" s="12">
        <v>35</v>
      </c>
      <c r="P13" s="12">
        <v>0</v>
      </c>
      <c r="Q13" s="12">
        <v>1</v>
      </c>
      <c r="R13" s="12" t="s">
        <v>91</v>
      </c>
      <c r="S13" s="12" t="s">
        <v>118</v>
      </c>
      <c r="T13" s="12" t="s">
        <v>151</v>
      </c>
    </row>
    <row r="14" spans="1:20" x14ac:dyDescent="0.25">
      <c r="I14" s="12" t="s">
        <v>1092</v>
      </c>
      <c r="J14" s="13" t="s">
        <v>1093</v>
      </c>
      <c r="K14" s="12" t="s">
        <v>93</v>
      </c>
      <c r="O14" s="12">
        <v>18</v>
      </c>
      <c r="P14" s="12">
        <v>1</v>
      </c>
      <c r="Q14" s="12">
        <v>1</v>
      </c>
      <c r="R14" s="12" t="s">
        <v>91</v>
      </c>
      <c r="S14" s="12" t="s">
        <v>118</v>
      </c>
      <c r="T14" s="12" t="s">
        <v>151</v>
      </c>
    </row>
    <row r="15" spans="1:20" x14ac:dyDescent="0.25">
      <c r="I15" s="12" t="s">
        <v>1094</v>
      </c>
      <c r="J15" s="13" t="s">
        <v>1095</v>
      </c>
      <c r="K15" s="12" t="s">
        <v>54</v>
      </c>
      <c r="N15" s="12">
        <v>3</v>
      </c>
      <c r="R15" s="12" t="s">
        <v>91</v>
      </c>
      <c r="S15" s="12" t="s">
        <v>118</v>
      </c>
      <c r="T15" s="12" t="s">
        <v>151</v>
      </c>
    </row>
    <row r="16" spans="1:20" x14ac:dyDescent="0.25">
      <c r="I16" s="12" t="s">
        <v>1096</v>
      </c>
      <c r="J16" s="13" t="s">
        <v>1097</v>
      </c>
      <c r="K16" s="12" t="s">
        <v>58</v>
      </c>
      <c r="N16" s="12">
        <v>10</v>
      </c>
      <c r="P16" s="12">
        <v>0</v>
      </c>
      <c r="Q16" s="12">
        <v>1</v>
      </c>
      <c r="R16" s="12" t="s">
        <v>91</v>
      </c>
      <c r="S16" s="12" t="s">
        <v>118</v>
      </c>
      <c r="T16" s="12" t="s">
        <v>151</v>
      </c>
    </row>
    <row r="17" spans="9:20" x14ac:dyDescent="0.25">
      <c r="I17" s="12" t="s">
        <v>1098</v>
      </c>
      <c r="J17" s="13" t="s">
        <v>1099</v>
      </c>
      <c r="K17" s="12" t="s">
        <v>1100</v>
      </c>
      <c r="N17" s="12">
        <v>4</v>
      </c>
      <c r="P17" s="12">
        <v>0</v>
      </c>
      <c r="Q17" s="12">
        <v>1</v>
      </c>
      <c r="R17" s="12" t="s">
        <v>91</v>
      </c>
      <c r="S17" s="12" t="s">
        <v>118</v>
      </c>
      <c r="T17" s="12" t="s">
        <v>151</v>
      </c>
    </row>
    <row r="18" spans="9:20" x14ac:dyDescent="0.25">
      <c r="I18" s="12" t="s">
        <v>1101</v>
      </c>
      <c r="J18" s="13" t="s">
        <v>1102</v>
      </c>
      <c r="K18" s="12" t="s">
        <v>328</v>
      </c>
      <c r="O18" s="12">
        <v>18</v>
      </c>
      <c r="P18" s="12">
        <v>1</v>
      </c>
      <c r="Q18" s="12">
        <v>1</v>
      </c>
      <c r="R18" s="12" t="s">
        <v>91</v>
      </c>
      <c r="S18" s="12" t="s">
        <v>118</v>
      </c>
      <c r="T18" s="12" t="s">
        <v>151</v>
      </c>
    </row>
    <row r="19" spans="9:20" x14ac:dyDescent="0.25">
      <c r="I19" s="12" t="s">
        <v>1103</v>
      </c>
      <c r="J19" s="13" t="s">
        <v>1104</v>
      </c>
      <c r="K19" s="12" t="s">
        <v>54</v>
      </c>
      <c r="N19" s="12">
        <v>3</v>
      </c>
      <c r="R19" s="12" t="s">
        <v>91</v>
      </c>
      <c r="S19" s="12" t="s">
        <v>118</v>
      </c>
      <c r="T19" s="12" t="s">
        <v>151</v>
      </c>
    </row>
    <row r="20" spans="9:20" s="49" customFormat="1" x14ac:dyDescent="0.25">
      <c r="I20" s="49" t="s">
        <v>1105</v>
      </c>
      <c r="J20" s="50" t="s">
        <v>1106</v>
      </c>
      <c r="K20" s="49" t="s">
        <v>106</v>
      </c>
      <c r="L20" s="12"/>
      <c r="M20" s="49">
        <v>9</v>
      </c>
      <c r="P20" s="49">
        <v>1</v>
      </c>
      <c r="Q20" s="49">
        <v>1</v>
      </c>
      <c r="R20" s="49" t="s">
        <v>91</v>
      </c>
      <c r="S20" s="49" t="s">
        <v>118</v>
      </c>
      <c r="T20" s="49" t="s">
        <v>151</v>
      </c>
    </row>
    <row r="21" spans="9:20" x14ac:dyDescent="0.25">
      <c r="J21" s="13"/>
    </row>
    <row r="22" spans="9:20" x14ac:dyDescent="0.25">
      <c r="J22" s="13"/>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K13"/>
  <sheetViews>
    <sheetView zoomScale="75" zoomScaleNormal="75" workbookViewId="0">
      <selection activeCell="A18" sqref="A18"/>
    </sheetView>
  </sheetViews>
  <sheetFormatPr defaultRowHeight="15" x14ac:dyDescent="0.25"/>
  <cols>
    <col min="1" max="1" width="72.42578125" style="12" customWidth="1"/>
    <col min="2" max="2" width="6" style="12" customWidth="1"/>
    <col min="3" max="3" width="12.7109375" style="12" customWidth="1"/>
    <col min="4" max="4" width="7.7109375" style="12" customWidth="1"/>
    <col min="5" max="5" width="8.7109375" style="12" customWidth="1"/>
    <col min="6" max="6" width="6.42578125" style="12" customWidth="1"/>
    <col min="7" max="7" width="6" style="12" customWidth="1"/>
    <col min="8" max="8" width="6.140625" style="12" customWidth="1"/>
    <col min="9" max="9" width="72.42578125" style="12" customWidth="1"/>
    <col min="10" max="10" width="7.5703125" style="12" customWidth="1"/>
    <col min="11" max="11" width="12.85546875" style="12" customWidth="1"/>
    <col min="12" max="12" width="11.5703125" style="12" hidden="1"/>
    <col min="13" max="13" width="8.7109375" style="12" customWidth="1"/>
    <col min="14" max="14" width="10" style="12" customWidth="1"/>
    <col min="15" max="16" width="7.140625" style="12" customWidth="1"/>
    <col min="17" max="17" width="7.85546875" style="12" customWidth="1"/>
    <col min="18" max="18" width="15.42578125" style="12" customWidth="1"/>
    <col min="19" max="19" width="21.7109375" style="12" customWidth="1"/>
    <col min="20" max="20" width="21.28515625" style="12" customWidth="1"/>
    <col min="21" max="1025" width="8.7109375" style="12" customWidth="1"/>
  </cols>
  <sheetData>
    <row r="1" spans="1:20" ht="30" x14ac:dyDescent="0.25">
      <c r="A1" s="11" t="s">
        <v>12</v>
      </c>
      <c r="B1" s="11" t="s">
        <v>13</v>
      </c>
      <c r="C1" s="11" t="s">
        <v>14</v>
      </c>
      <c r="D1" s="11" t="s">
        <v>15</v>
      </c>
      <c r="E1" s="11" t="s">
        <v>16</v>
      </c>
      <c r="F1" s="11" t="s">
        <v>21</v>
      </c>
      <c r="G1" s="11" t="s">
        <v>17</v>
      </c>
      <c r="H1" s="11" t="s">
        <v>18</v>
      </c>
      <c r="I1" s="11" t="s">
        <v>19</v>
      </c>
      <c r="J1" s="11" t="s">
        <v>13</v>
      </c>
      <c r="K1" s="11" t="s">
        <v>14</v>
      </c>
      <c r="L1" s="11" t="s">
        <v>20</v>
      </c>
      <c r="M1" s="11" t="s">
        <v>15</v>
      </c>
      <c r="N1" s="11" t="s">
        <v>16</v>
      </c>
      <c r="O1" s="11" t="s">
        <v>21</v>
      </c>
      <c r="P1" s="11" t="s">
        <v>17</v>
      </c>
      <c r="Q1" s="11" t="s">
        <v>18</v>
      </c>
      <c r="R1" s="11" t="s">
        <v>343</v>
      </c>
      <c r="S1" s="11" t="s">
        <v>23</v>
      </c>
      <c r="T1" s="11" t="s">
        <v>24</v>
      </c>
    </row>
    <row r="2" spans="1:20" s="96" customFormat="1" x14ac:dyDescent="0.25">
      <c r="A2" s="96" t="s">
        <v>1107</v>
      </c>
      <c r="B2" s="97" t="s">
        <v>26</v>
      </c>
      <c r="C2" s="96" t="s">
        <v>148</v>
      </c>
      <c r="D2" s="96">
        <v>35</v>
      </c>
      <c r="G2" s="96">
        <v>1</v>
      </c>
      <c r="H2" s="96">
        <v>1</v>
      </c>
      <c r="I2" s="96" t="s">
        <v>1107</v>
      </c>
      <c r="J2" s="97" t="s">
        <v>26</v>
      </c>
      <c r="K2" s="96" t="s">
        <v>148</v>
      </c>
      <c r="M2" s="96">
        <v>35</v>
      </c>
      <c r="P2" s="96">
        <v>1</v>
      </c>
      <c r="Q2" s="96">
        <v>1</v>
      </c>
      <c r="S2" s="96" t="s">
        <v>29</v>
      </c>
      <c r="T2" s="96" t="s">
        <v>43</v>
      </c>
    </row>
    <row r="3" spans="1:20" x14ac:dyDescent="0.25">
      <c r="A3" s="96" t="s">
        <v>1108</v>
      </c>
      <c r="B3" s="97" t="s">
        <v>677</v>
      </c>
      <c r="C3" s="96" t="s">
        <v>106</v>
      </c>
      <c r="D3" s="96">
        <v>9</v>
      </c>
      <c r="E3" s="96"/>
      <c r="F3" s="96"/>
      <c r="G3" s="96">
        <v>1</v>
      </c>
      <c r="H3" s="96">
        <v>1</v>
      </c>
      <c r="I3" s="96" t="s">
        <v>1108</v>
      </c>
      <c r="J3" s="97" t="s">
        <v>678</v>
      </c>
      <c r="K3" s="96" t="s">
        <v>106</v>
      </c>
      <c r="L3" s="96"/>
      <c r="M3" s="96">
        <v>9</v>
      </c>
      <c r="N3" s="96"/>
      <c r="O3" s="96"/>
      <c r="P3" s="96">
        <v>1</v>
      </c>
      <c r="Q3" s="96">
        <v>1</v>
      </c>
      <c r="R3" s="96"/>
      <c r="S3" s="96" t="s">
        <v>29</v>
      </c>
      <c r="T3" s="32" t="s">
        <v>1363</v>
      </c>
    </row>
    <row r="4" spans="1:20" x14ac:dyDescent="0.25">
      <c r="A4" s="96" t="s">
        <v>1109</v>
      </c>
      <c r="B4" s="97" t="s">
        <v>670</v>
      </c>
      <c r="C4" s="96" t="s">
        <v>106</v>
      </c>
      <c r="D4" s="96">
        <v>9</v>
      </c>
      <c r="E4" s="96"/>
      <c r="F4" s="96"/>
      <c r="G4" s="96">
        <v>1</v>
      </c>
      <c r="H4" s="96">
        <v>1</v>
      </c>
      <c r="I4" s="96" t="s">
        <v>1109</v>
      </c>
      <c r="J4" s="97" t="s">
        <v>671</v>
      </c>
      <c r="K4" s="96" t="s">
        <v>106</v>
      </c>
      <c r="L4" s="96"/>
      <c r="M4" s="96">
        <v>9</v>
      </c>
      <c r="N4" s="96"/>
      <c r="O4" s="96"/>
      <c r="P4" s="96">
        <v>1</v>
      </c>
      <c r="Q4" s="96">
        <v>1</v>
      </c>
      <c r="R4" s="96"/>
      <c r="S4" s="96" t="s">
        <v>29</v>
      </c>
      <c r="T4" s="32" t="s">
        <v>1363</v>
      </c>
    </row>
    <row r="5" spans="1:20" x14ac:dyDescent="0.25">
      <c r="A5" s="96" t="s">
        <v>1110</v>
      </c>
      <c r="B5" s="97" t="s">
        <v>674</v>
      </c>
      <c r="C5" s="96" t="s">
        <v>36</v>
      </c>
      <c r="D5" s="96"/>
      <c r="E5" s="96">
        <v>19</v>
      </c>
      <c r="F5" s="96"/>
      <c r="G5" s="96">
        <v>1</v>
      </c>
      <c r="H5" s="96">
        <v>1</v>
      </c>
      <c r="I5" s="96" t="s">
        <v>1110</v>
      </c>
      <c r="J5" s="97" t="s">
        <v>675</v>
      </c>
      <c r="K5" s="96" t="s">
        <v>36</v>
      </c>
      <c r="L5" s="96"/>
      <c r="M5" s="96"/>
      <c r="N5" s="96">
        <v>19</v>
      </c>
      <c r="O5" s="96"/>
      <c r="P5" s="96">
        <v>1</v>
      </c>
      <c r="Q5" s="96">
        <v>1</v>
      </c>
      <c r="R5" s="96"/>
      <c r="S5" s="96" t="s">
        <v>29</v>
      </c>
      <c r="T5" s="12" t="s">
        <v>29</v>
      </c>
    </row>
    <row r="6" spans="1:20" x14ac:dyDescent="0.25">
      <c r="A6" s="96" t="s">
        <v>1111</v>
      </c>
      <c r="B6" s="97" t="s">
        <v>349</v>
      </c>
      <c r="C6" s="96" t="s">
        <v>148</v>
      </c>
      <c r="D6" s="96">
        <v>35</v>
      </c>
      <c r="E6" s="96"/>
      <c r="F6" s="96"/>
      <c r="G6" s="96">
        <v>1</v>
      </c>
      <c r="H6" s="96">
        <v>1</v>
      </c>
      <c r="I6" s="96" t="s">
        <v>1111</v>
      </c>
      <c r="J6" s="97" t="s">
        <v>349</v>
      </c>
      <c r="K6" s="96" t="s">
        <v>148</v>
      </c>
      <c r="L6" s="96"/>
      <c r="M6" s="96">
        <v>35</v>
      </c>
      <c r="N6" s="96"/>
      <c r="O6" s="96"/>
      <c r="P6" s="96">
        <v>1</v>
      </c>
      <c r="Q6" s="96">
        <v>1</v>
      </c>
      <c r="R6" s="96"/>
      <c r="S6" s="96" t="s">
        <v>29</v>
      </c>
      <c r="T6" s="96" t="s">
        <v>43</v>
      </c>
    </row>
    <row r="7" spans="1:20" x14ac:dyDescent="0.25">
      <c r="A7" s="96" t="s">
        <v>1112</v>
      </c>
      <c r="B7" s="97" t="s">
        <v>71</v>
      </c>
      <c r="C7" s="96" t="s">
        <v>117</v>
      </c>
      <c r="D7" s="96">
        <v>140</v>
      </c>
      <c r="E7" s="96"/>
      <c r="F7" s="96"/>
      <c r="G7" s="96">
        <v>1</v>
      </c>
      <c r="H7" s="96">
        <v>1</v>
      </c>
      <c r="I7" s="96" t="s">
        <v>1112</v>
      </c>
      <c r="J7" s="97" t="s">
        <v>71</v>
      </c>
      <c r="K7" s="96" t="s">
        <v>117</v>
      </c>
      <c r="L7" s="96"/>
      <c r="M7" s="96">
        <v>140</v>
      </c>
      <c r="N7" s="96"/>
      <c r="O7" s="96"/>
      <c r="P7" s="96">
        <v>1</v>
      </c>
      <c r="Q7" s="96">
        <v>1</v>
      </c>
      <c r="R7" s="96"/>
      <c r="S7" s="96" t="s">
        <v>29</v>
      </c>
      <c r="T7" s="96" t="s">
        <v>29</v>
      </c>
    </row>
    <row r="8" spans="1:20" x14ac:dyDescent="0.25">
      <c r="A8" s="32"/>
      <c r="B8" s="32"/>
      <c r="C8" s="32"/>
      <c r="D8" s="32"/>
      <c r="E8" s="32"/>
      <c r="F8" s="32"/>
      <c r="G8" s="32"/>
      <c r="H8" s="32"/>
      <c r="I8" s="96" t="s">
        <v>1113</v>
      </c>
      <c r="J8" s="97" t="s">
        <v>694</v>
      </c>
      <c r="K8" s="96" t="s">
        <v>106</v>
      </c>
      <c r="L8" s="96"/>
      <c r="M8" s="96">
        <v>9</v>
      </c>
      <c r="N8" s="96"/>
      <c r="O8" s="96"/>
      <c r="P8" s="96">
        <v>1</v>
      </c>
      <c r="Q8" s="96">
        <v>1</v>
      </c>
      <c r="R8" s="96" t="s">
        <v>91</v>
      </c>
      <c r="S8" s="96" t="s">
        <v>118</v>
      </c>
      <c r="T8" s="96" t="s">
        <v>1114</v>
      </c>
    </row>
    <row r="9" spans="1:20" x14ac:dyDescent="0.25">
      <c r="A9" s="12" t="s">
        <v>1115</v>
      </c>
      <c r="B9" s="13" t="s">
        <v>613</v>
      </c>
      <c r="C9" s="12" t="s">
        <v>1116</v>
      </c>
      <c r="G9" s="12">
        <v>1</v>
      </c>
      <c r="H9" s="12">
        <v>1</v>
      </c>
      <c r="I9" s="96" t="s">
        <v>1115</v>
      </c>
      <c r="J9" s="97" t="s">
        <v>613</v>
      </c>
      <c r="K9" s="96" t="s">
        <v>1116</v>
      </c>
      <c r="L9" s="96"/>
      <c r="M9" s="96">
        <v>4</v>
      </c>
      <c r="N9" s="96"/>
      <c r="O9" s="96"/>
      <c r="P9" s="96">
        <v>1</v>
      </c>
      <c r="Q9" s="96">
        <v>1</v>
      </c>
      <c r="R9" s="96"/>
      <c r="S9" s="96" t="s">
        <v>29</v>
      </c>
      <c r="T9" s="96" t="s">
        <v>1117</v>
      </c>
    </row>
    <row r="10" spans="1:20" x14ac:dyDescent="0.25">
      <c r="A10" s="12" t="s">
        <v>1118</v>
      </c>
      <c r="B10" s="13" t="s">
        <v>683</v>
      </c>
      <c r="C10" s="12" t="s">
        <v>310</v>
      </c>
      <c r="D10" s="12">
        <v>140</v>
      </c>
      <c r="G10" s="12">
        <v>0</v>
      </c>
      <c r="H10" s="12">
        <v>1</v>
      </c>
      <c r="I10" s="12" t="s">
        <v>1118</v>
      </c>
      <c r="J10" s="13" t="s">
        <v>683</v>
      </c>
      <c r="K10" s="12" t="s">
        <v>310</v>
      </c>
      <c r="M10" s="12">
        <v>140</v>
      </c>
      <c r="P10" s="12">
        <v>0</v>
      </c>
      <c r="Q10" s="12">
        <v>1</v>
      </c>
      <c r="S10" s="12" t="s">
        <v>29</v>
      </c>
      <c r="T10" s="12" t="s">
        <v>1119</v>
      </c>
    </row>
    <row r="11" spans="1:20" x14ac:dyDescent="0.25">
      <c r="A11" s="12" t="s">
        <v>1120</v>
      </c>
      <c r="B11" s="13" t="s">
        <v>359</v>
      </c>
      <c r="C11" s="12" t="s">
        <v>64</v>
      </c>
      <c r="D11" s="12">
        <v>35</v>
      </c>
      <c r="G11" s="12">
        <v>1</v>
      </c>
      <c r="H11" s="12">
        <v>1</v>
      </c>
      <c r="I11" s="12" t="s">
        <v>1120</v>
      </c>
      <c r="J11" s="13" t="s">
        <v>359</v>
      </c>
      <c r="K11" s="12" t="s">
        <v>64</v>
      </c>
      <c r="M11" s="12">
        <v>35</v>
      </c>
      <c r="P11" s="12">
        <v>1</v>
      </c>
      <c r="Q11" s="12">
        <v>1</v>
      </c>
      <c r="S11" s="12" t="s">
        <v>29</v>
      </c>
      <c r="T11" s="12" t="s">
        <v>29</v>
      </c>
    </row>
    <row r="12" spans="1:20" x14ac:dyDescent="0.25">
      <c r="A12" s="12" t="s">
        <v>1121</v>
      </c>
      <c r="B12" s="13" t="s">
        <v>690</v>
      </c>
      <c r="C12" s="12" t="s">
        <v>68</v>
      </c>
      <c r="D12" s="12">
        <v>35</v>
      </c>
      <c r="G12" s="12">
        <v>1</v>
      </c>
      <c r="H12" s="12">
        <v>1</v>
      </c>
      <c r="I12" s="12" t="s">
        <v>1121</v>
      </c>
      <c r="J12" s="13" t="s">
        <v>690</v>
      </c>
      <c r="K12" s="12" t="s">
        <v>68</v>
      </c>
      <c r="M12" s="12">
        <v>35</v>
      </c>
      <c r="P12" s="12">
        <v>1</v>
      </c>
      <c r="Q12" s="12">
        <v>1</v>
      </c>
      <c r="S12" s="12" t="s">
        <v>29</v>
      </c>
      <c r="T12" s="12" t="s">
        <v>29</v>
      </c>
    </row>
    <row r="13" spans="1:20" x14ac:dyDescent="0.25">
      <c r="A13" s="12" t="s">
        <v>1122</v>
      </c>
      <c r="B13" s="13" t="s">
        <v>362</v>
      </c>
      <c r="C13" s="12" t="s">
        <v>72</v>
      </c>
      <c r="D13" s="12">
        <v>35</v>
      </c>
      <c r="G13" s="12">
        <v>1</v>
      </c>
      <c r="H13" s="12">
        <v>1</v>
      </c>
      <c r="I13" s="12" t="s">
        <v>1122</v>
      </c>
      <c r="J13" s="13" t="s">
        <v>362</v>
      </c>
      <c r="K13" s="12" t="s">
        <v>72</v>
      </c>
      <c r="M13" s="12">
        <v>35</v>
      </c>
      <c r="P13" s="12">
        <v>1</v>
      </c>
      <c r="Q13" s="12">
        <v>1</v>
      </c>
      <c r="S13" s="12" t="s">
        <v>29</v>
      </c>
      <c r="T13" s="12" t="s">
        <v>29</v>
      </c>
    </row>
  </sheetData>
  <pageMargins left="0.7" right="0.7" top="0.75" bottom="0.75" header="0.51180555555555496" footer="0.3"/>
  <pageSetup paperSize="9" firstPageNumber="0" orientation="portrait" horizontalDpi="300" verticalDpi="300" r:id="rId1"/>
  <headerFooter>
    <oddFooter>&amp;C&amp;"Calibri"&amp;11&amp;K000000Internal_x000D_x000D_&amp;1#&amp;"Calibri"&amp;10&amp;K000000Confidential / Internal Use Only</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K21"/>
  <sheetViews>
    <sheetView topLeftCell="Q1" zoomScale="75" zoomScaleNormal="75" workbookViewId="0">
      <selection activeCell="W24" sqref="W24"/>
    </sheetView>
  </sheetViews>
  <sheetFormatPr defaultRowHeight="15" x14ac:dyDescent="0.25"/>
  <cols>
    <col min="1" max="6" width="8.7109375" style="12" customWidth="1"/>
    <col min="7" max="7" width="11" style="12" customWidth="1"/>
    <col min="8" max="11" width="8.7109375" style="12" customWidth="1"/>
    <col min="12" max="12" width="75.42578125" style="12" customWidth="1"/>
    <col min="13" max="16" width="8.7109375" style="12" customWidth="1"/>
    <col min="17" max="17" width="11.5703125" style="12" customWidth="1"/>
    <col min="18" max="20" width="8.7109375" style="12" customWidth="1"/>
    <col min="21" max="21" width="15.42578125" style="12" customWidth="1"/>
    <col min="22" max="22" width="37.5703125" style="12" customWidth="1"/>
    <col min="23" max="23" width="41.7109375" style="12" customWidth="1"/>
    <col min="24" max="1025" width="8.7109375" style="12" customWidth="1"/>
  </cols>
  <sheetData>
    <row r="1" spans="1:23" ht="30" x14ac:dyDescent="0.25">
      <c r="A1" s="11" t="s">
        <v>1123</v>
      </c>
      <c r="B1" s="11" t="s">
        <v>12</v>
      </c>
      <c r="C1" s="11" t="s">
        <v>13</v>
      </c>
      <c r="D1" s="11" t="s">
        <v>14</v>
      </c>
      <c r="E1" s="11" t="s">
        <v>20</v>
      </c>
      <c r="F1" s="11" t="s">
        <v>15</v>
      </c>
      <c r="G1" s="11" t="s">
        <v>16</v>
      </c>
      <c r="H1" s="11" t="s">
        <v>21</v>
      </c>
      <c r="I1" s="11" t="s">
        <v>17</v>
      </c>
      <c r="J1" s="11" t="s">
        <v>18</v>
      </c>
      <c r="K1" s="11" t="s">
        <v>343</v>
      </c>
      <c r="L1" s="11" t="s">
        <v>19</v>
      </c>
      <c r="M1" s="11" t="s">
        <v>13</v>
      </c>
      <c r="N1" s="11" t="s">
        <v>14</v>
      </c>
      <c r="O1" s="11" t="s">
        <v>20</v>
      </c>
      <c r="P1" s="11" t="s">
        <v>15</v>
      </c>
      <c r="Q1" s="11" t="s">
        <v>16</v>
      </c>
      <c r="R1" s="11" t="s">
        <v>21</v>
      </c>
      <c r="S1" s="11" t="s">
        <v>17</v>
      </c>
      <c r="T1" s="11" t="s">
        <v>18</v>
      </c>
      <c r="U1" s="11" t="s">
        <v>343</v>
      </c>
      <c r="V1" s="11" t="s">
        <v>23</v>
      </c>
      <c r="W1" s="11" t="s">
        <v>24</v>
      </c>
    </row>
    <row r="2" spans="1:23" x14ac:dyDescent="0.25">
      <c r="A2" s="12">
        <v>1</v>
      </c>
      <c r="B2" s="12" t="s">
        <v>1124</v>
      </c>
      <c r="C2" s="13" t="s">
        <v>26</v>
      </c>
      <c r="D2" s="12" t="s">
        <v>27</v>
      </c>
      <c r="F2" s="12">
        <v>35</v>
      </c>
      <c r="I2" s="12">
        <v>1</v>
      </c>
      <c r="J2" s="12">
        <v>1</v>
      </c>
      <c r="L2" s="12" t="s">
        <v>1125</v>
      </c>
      <c r="M2" s="13" t="s">
        <v>26</v>
      </c>
      <c r="N2" s="12" t="s">
        <v>27</v>
      </c>
      <c r="P2" s="12">
        <v>35</v>
      </c>
      <c r="S2" s="12">
        <v>1</v>
      </c>
      <c r="T2" s="12">
        <v>1</v>
      </c>
      <c r="V2" s="12" t="s">
        <v>29</v>
      </c>
      <c r="W2" s="12" t="s">
        <v>29</v>
      </c>
    </row>
    <row r="3" spans="1:23" x14ac:dyDescent="0.25">
      <c r="A3" s="12">
        <v>2</v>
      </c>
      <c r="B3" s="12" t="s">
        <v>1126</v>
      </c>
      <c r="C3" s="13" t="s">
        <v>35</v>
      </c>
      <c r="D3" s="12" t="s">
        <v>36</v>
      </c>
      <c r="G3" s="12">
        <v>19</v>
      </c>
      <c r="I3" s="12">
        <v>1</v>
      </c>
      <c r="J3" s="12">
        <v>1</v>
      </c>
      <c r="L3" s="12" t="s">
        <v>1127</v>
      </c>
      <c r="M3" s="13" t="s">
        <v>35</v>
      </c>
      <c r="N3" s="12" t="s">
        <v>36</v>
      </c>
      <c r="Q3" s="12">
        <v>19</v>
      </c>
      <c r="S3" s="12">
        <v>1</v>
      </c>
      <c r="T3" s="12">
        <v>1</v>
      </c>
      <c r="V3" s="12" t="s">
        <v>29</v>
      </c>
      <c r="W3" s="12" t="s">
        <v>29</v>
      </c>
    </row>
    <row r="4" spans="1:23" x14ac:dyDescent="0.25">
      <c r="A4" s="12">
        <v>3</v>
      </c>
      <c r="B4" s="12" t="s">
        <v>1128</v>
      </c>
      <c r="C4" s="13" t="s">
        <v>1129</v>
      </c>
      <c r="D4" s="12" t="s">
        <v>148</v>
      </c>
      <c r="F4" s="12">
        <v>9</v>
      </c>
      <c r="I4" s="12">
        <v>1</v>
      </c>
      <c r="J4" s="12">
        <v>1</v>
      </c>
      <c r="L4" s="12" t="s">
        <v>1130</v>
      </c>
      <c r="M4" s="13" t="s">
        <v>1131</v>
      </c>
      <c r="N4" s="12" t="s">
        <v>148</v>
      </c>
      <c r="P4" s="12">
        <v>9</v>
      </c>
      <c r="S4" s="12">
        <v>1</v>
      </c>
      <c r="T4" s="12">
        <v>1</v>
      </c>
      <c r="V4" s="12" t="s">
        <v>29</v>
      </c>
      <c r="W4" s="12" t="s">
        <v>29</v>
      </c>
    </row>
    <row r="5" spans="1:23" x14ac:dyDescent="0.25">
      <c r="A5" s="12">
        <v>4</v>
      </c>
      <c r="B5" s="12" t="s">
        <v>1132</v>
      </c>
      <c r="C5" s="13" t="s">
        <v>1133</v>
      </c>
      <c r="D5" s="12" t="s">
        <v>148</v>
      </c>
      <c r="F5" s="12">
        <v>9</v>
      </c>
      <c r="I5" s="12">
        <v>1</v>
      </c>
      <c r="J5" s="12">
        <v>1</v>
      </c>
      <c r="L5" s="12" t="s">
        <v>1134</v>
      </c>
      <c r="M5" s="13" t="s">
        <v>1135</v>
      </c>
      <c r="N5" s="12" t="s">
        <v>148</v>
      </c>
      <c r="P5" s="12">
        <v>9</v>
      </c>
      <c r="S5" s="12">
        <v>1</v>
      </c>
      <c r="T5" s="12">
        <v>1</v>
      </c>
      <c r="V5" s="12" t="s">
        <v>29</v>
      </c>
      <c r="W5" s="12" t="s">
        <v>29</v>
      </c>
    </row>
    <row r="6" spans="1:23" x14ac:dyDescent="0.25">
      <c r="A6" s="12">
        <v>5</v>
      </c>
      <c r="B6" s="12" t="s">
        <v>1136</v>
      </c>
      <c r="C6" s="13" t="s">
        <v>349</v>
      </c>
      <c r="D6" s="12" t="s">
        <v>294</v>
      </c>
      <c r="F6" s="12">
        <v>35</v>
      </c>
      <c r="I6" s="12">
        <v>1</v>
      </c>
      <c r="J6" s="12">
        <v>1</v>
      </c>
      <c r="L6" s="12" t="s">
        <v>1137</v>
      </c>
      <c r="M6" s="13" t="s">
        <v>349</v>
      </c>
      <c r="N6" s="12" t="s">
        <v>294</v>
      </c>
      <c r="P6" s="12">
        <v>35</v>
      </c>
      <c r="S6" s="12">
        <v>1</v>
      </c>
      <c r="T6" s="12">
        <v>1</v>
      </c>
      <c r="V6" s="12" t="s">
        <v>29</v>
      </c>
      <c r="W6" s="12" t="s">
        <v>29</v>
      </c>
    </row>
    <row r="7" spans="1:23" x14ac:dyDescent="0.25">
      <c r="A7" s="12">
        <v>6</v>
      </c>
      <c r="B7" s="12" t="s">
        <v>1138</v>
      </c>
      <c r="C7" s="13" t="s">
        <v>63</v>
      </c>
      <c r="D7" s="12" t="s">
        <v>310</v>
      </c>
      <c r="F7" s="12">
        <v>140</v>
      </c>
      <c r="I7" s="12">
        <v>0</v>
      </c>
      <c r="J7" s="12">
        <v>10</v>
      </c>
      <c r="L7" s="12" t="s">
        <v>1139</v>
      </c>
      <c r="M7" s="13" t="s">
        <v>63</v>
      </c>
      <c r="N7" s="12" t="s">
        <v>310</v>
      </c>
      <c r="P7" s="12">
        <v>140</v>
      </c>
      <c r="S7" s="12">
        <v>0</v>
      </c>
      <c r="T7" s="12">
        <v>10</v>
      </c>
      <c r="V7" s="12" t="s">
        <v>29</v>
      </c>
      <c r="W7" s="12" t="s">
        <v>29</v>
      </c>
    </row>
    <row r="8" spans="1:23" x14ac:dyDescent="0.25">
      <c r="A8" s="12">
        <v>7</v>
      </c>
      <c r="B8" s="12" t="s">
        <v>1140</v>
      </c>
      <c r="C8" s="13" t="s">
        <v>1141</v>
      </c>
      <c r="D8" s="12" t="s">
        <v>411</v>
      </c>
      <c r="F8" s="12">
        <v>35</v>
      </c>
      <c r="I8" s="12">
        <v>0</v>
      </c>
      <c r="J8" s="12">
        <v>1</v>
      </c>
      <c r="L8" s="12" t="s">
        <v>1142</v>
      </c>
      <c r="M8" s="13" t="s">
        <v>1143</v>
      </c>
      <c r="N8" s="12" t="s">
        <v>411</v>
      </c>
      <c r="P8" s="12">
        <v>35</v>
      </c>
      <c r="S8" s="12">
        <v>0</v>
      </c>
      <c r="T8" s="12">
        <v>1</v>
      </c>
      <c r="V8" s="12" t="s">
        <v>29</v>
      </c>
      <c r="W8" s="12" t="s">
        <v>29</v>
      </c>
    </row>
    <row r="9" spans="1:23" x14ac:dyDescent="0.25">
      <c r="A9" s="12">
        <v>8</v>
      </c>
      <c r="B9" s="12" t="s">
        <v>1144</v>
      </c>
      <c r="C9" s="13" t="s">
        <v>1145</v>
      </c>
      <c r="D9" s="12" t="s">
        <v>64</v>
      </c>
      <c r="F9" s="12">
        <v>35</v>
      </c>
      <c r="I9" s="12">
        <v>0</v>
      </c>
      <c r="J9" s="12">
        <v>1</v>
      </c>
      <c r="L9" s="12" t="s">
        <v>1146</v>
      </c>
      <c r="M9" s="13" t="s">
        <v>1147</v>
      </c>
      <c r="N9" s="12" t="s">
        <v>64</v>
      </c>
      <c r="P9" s="12">
        <v>35</v>
      </c>
      <c r="S9" s="12">
        <v>0</v>
      </c>
      <c r="T9" s="12">
        <v>1</v>
      </c>
      <c r="V9" s="12" t="s">
        <v>29</v>
      </c>
      <c r="W9" s="12" t="s">
        <v>29</v>
      </c>
    </row>
    <row r="10" spans="1:23" x14ac:dyDescent="0.25">
      <c r="A10" s="12">
        <v>9</v>
      </c>
      <c r="B10" s="12" t="s">
        <v>1148</v>
      </c>
      <c r="C10" s="13" t="s">
        <v>1149</v>
      </c>
      <c r="D10" s="12" t="s">
        <v>68</v>
      </c>
      <c r="F10" s="12">
        <v>35</v>
      </c>
      <c r="I10" s="12">
        <v>1</v>
      </c>
      <c r="J10" s="12">
        <v>1</v>
      </c>
      <c r="L10" s="12" t="s">
        <v>1150</v>
      </c>
      <c r="M10" s="13" t="s">
        <v>1151</v>
      </c>
      <c r="N10" s="12" t="s">
        <v>68</v>
      </c>
      <c r="P10" s="12">
        <v>35</v>
      </c>
      <c r="S10" s="12">
        <v>1</v>
      </c>
      <c r="T10" s="12">
        <v>1</v>
      </c>
      <c r="V10" s="12" t="s">
        <v>29</v>
      </c>
      <c r="W10" s="12" t="s">
        <v>29</v>
      </c>
    </row>
    <row r="11" spans="1:23" x14ac:dyDescent="0.25">
      <c r="A11" s="12">
        <v>10</v>
      </c>
      <c r="B11" s="12" t="s">
        <v>1152</v>
      </c>
      <c r="C11" s="13" t="s">
        <v>1153</v>
      </c>
      <c r="D11" s="12" t="s">
        <v>72</v>
      </c>
      <c r="F11" s="12">
        <v>35</v>
      </c>
      <c r="I11" s="12">
        <v>0</v>
      </c>
      <c r="J11" s="12">
        <v>1</v>
      </c>
      <c r="L11" s="12" t="s">
        <v>1154</v>
      </c>
      <c r="M11" s="13" t="s">
        <v>1155</v>
      </c>
      <c r="N11" s="12" t="s">
        <v>72</v>
      </c>
      <c r="P11" s="12">
        <v>35</v>
      </c>
      <c r="S11" s="12">
        <v>0</v>
      </c>
      <c r="T11" s="12">
        <v>1</v>
      </c>
      <c r="V11" s="12" t="s">
        <v>29</v>
      </c>
      <c r="W11" s="12" t="s">
        <v>29</v>
      </c>
    </row>
    <row r="12" spans="1:23" x14ac:dyDescent="0.25">
      <c r="A12" s="12">
        <v>11</v>
      </c>
      <c r="B12" s="12" t="s">
        <v>1156</v>
      </c>
      <c r="C12" s="13" t="s">
        <v>1157</v>
      </c>
      <c r="D12" s="12" t="s">
        <v>513</v>
      </c>
      <c r="H12" s="12">
        <v>18</v>
      </c>
      <c r="I12" s="12">
        <v>1</v>
      </c>
      <c r="J12" s="12">
        <v>1</v>
      </c>
      <c r="L12" s="12" t="s">
        <v>1158</v>
      </c>
      <c r="M12" s="13" t="s">
        <v>1159</v>
      </c>
      <c r="N12" s="12" t="s">
        <v>513</v>
      </c>
      <c r="R12" s="12">
        <v>18</v>
      </c>
      <c r="S12" s="12">
        <v>1</v>
      </c>
      <c r="T12" s="12">
        <v>1</v>
      </c>
      <c r="V12" s="12" t="s">
        <v>29</v>
      </c>
      <c r="W12" s="12" t="s">
        <v>29</v>
      </c>
    </row>
    <row r="13" spans="1:23" x14ac:dyDescent="0.25">
      <c r="A13" s="12">
        <v>12</v>
      </c>
      <c r="B13" s="12" t="s">
        <v>1160</v>
      </c>
      <c r="C13" s="13" t="s">
        <v>1161</v>
      </c>
      <c r="D13" s="12" t="s">
        <v>54</v>
      </c>
      <c r="F13" s="12">
        <v>3</v>
      </c>
      <c r="L13" s="12" t="s">
        <v>1162</v>
      </c>
      <c r="M13" s="13" t="s">
        <v>1163</v>
      </c>
      <c r="N13" s="12" t="s">
        <v>54</v>
      </c>
      <c r="Q13" s="12">
        <v>3</v>
      </c>
      <c r="V13" s="12" t="s">
        <v>29</v>
      </c>
      <c r="W13" s="12" t="s">
        <v>29</v>
      </c>
    </row>
    <row r="14" spans="1:23" x14ac:dyDescent="0.25">
      <c r="A14" s="12">
        <v>13</v>
      </c>
      <c r="B14" s="12" t="s">
        <v>1164</v>
      </c>
      <c r="C14" s="13" t="s">
        <v>1165</v>
      </c>
      <c r="D14" s="12" t="s">
        <v>415</v>
      </c>
      <c r="G14" s="12">
        <v>10</v>
      </c>
      <c r="I14" s="12">
        <v>0</v>
      </c>
      <c r="J14" s="12">
        <v>1</v>
      </c>
      <c r="L14" s="12" t="s">
        <v>1166</v>
      </c>
      <c r="M14" s="13" t="s">
        <v>1167</v>
      </c>
      <c r="N14" s="12" t="s">
        <v>417</v>
      </c>
      <c r="Q14" s="12">
        <v>10</v>
      </c>
      <c r="S14" s="12">
        <v>1</v>
      </c>
      <c r="T14" s="12">
        <v>1</v>
      </c>
      <c r="V14" s="12" t="s">
        <v>29</v>
      </c>
      <c r="W14" s="12" t="s">
        <v>29</v>
      </c>
    </row>
    <row r="15" spans="1:23" x14ac:dyDescent="0.25">
      <c r="A15" s="12">
        <v>14</v>
      </c>
      <c r="B15" s="12" t="s">
        <v>1164</v>
      </c>
      <c r="C15" s="13" t="s">
        <v>1165</v>
      </c>
      <c r="D15" s="12" t="s">
        <v>415</v>
      </c>
      <c r="G15" s="12">
        <v>10</v>
      </c>
      <c r="I15" s="12">
        <v>0</v>
      </c>
      <c r="J15" s="12">
        <v>1</v>
      </c>
      <c r="L15" s="12" t="s">
        <v>1168</v>
      </c>
      <c r="M15" s="13" t="s">
        <v>1169</v>
      </c>
      <c r="N15" s="12" t="s">
        <v>420</v>
      </c>
      <c r="Q15" s="12">
        <v>19</v>
      </c>
      <c r="S15" s="14">
        <v>0</v>
      </c>
      <c r="T15" s="12">
        <v>1</v>
      </c>
      <c r="U15" s="12" t="s">
        <v>91</v>
      </c>
      <c r="V15" s="12" t="s">
        <v>118</v>
      </c>
      <c r="W15" s="12" t="s">
        <v>421</v>
      </c>
    </row>
    <row r="16" spans="1:23" x14ac:dyDescent="0.25">
      <c r="A16" s="12">
        <v>15</v>
      </c>
      <c r="B16" s="12" t="s">
        <v>1170</v>
      </c>
      <c r="C16" s="13" t="s">
        <v>1171</v>
      </c>
      <c r="D16" s="12" t="s">
        <v>117</v>
      </c>
      <c r="F16" s="12">
        <v>140</v>
      </c>
      <c r="I16" s="12">
        <v>1</v>
      </c>
      <c r="J16" s="12">
        <v>1</v>
      </c>
      <c r="L16" s="12" t="s">
        <v>1172</v>
      </c>
      <c r="M16" s="13" t="s">
        <v>1173</v>
      </c>
      <c r="N16" s="12" t="s">
        <v>117</v>
      </c>
      <c r="P16" s="12">
        <v>140</v>
      </c>
      <c r="S16" s="12">
        <v>0</v>
      </c>
      <c r="T16" s="12">
        <v>1</v>
      </c>
      <c r="V16" s="12" t="s">
        <v>29</v>
      </c>
      <c r="W16" s="12" t="s">
        <v>29</v>
      </c>
    </row>
    <row r="17" spans="1:23" x14ac:dyDescent="0.25">
      <c r="A17" s="12">
        <v>20</v>
      </c>
      <c r="L17" s="12" t="s">
        <v>1174</v>
      </c>
      <c r="M17" s="13" t="s">
        <v>1175</v>
      </c>
      <c r="N17" s="12" t="s">
        <v>148</v>
      </c>
      <c r="P17" s="12">
        <v>34</v>
      </c>
      <c r="S17" s="12">
        <v>1</v>
      </c>
      <c r="T17" s="12">
        <v>1</v>
      </c>
      <c r="U17" s="12" t="s">
        <v>91</v>
      </c>
      <c r="V17" s="12" t="s">
        <v>118</v>
      </c>
      <c r="W17" s="12" t="s">
        <v>151</v>
      </c>
    </row>
    <row r="18" spans="1:23" s="53" customFormat="1" x14ac:dyDescent="0.25">
      <c r="A18" s="53">
        <v>16</v>
      </c>
      <c r="B18" s="53" t="s">
        <v>1176</v>
      </c>
      <c r="C18" s="54" t="s">
        <v>1177</v>
      </c>
      <c r="D18" s="53" t="s">
        <v>106</v>
      </c>
      <c r="F18" s="53">
        <v>9</v>
      </c>
      <c r="I18" s="53">
        <v>1</v>
      </c>
      <c r="J18" s="53">
        <v>1</v>
      </c>
      <c r="L18" s="53" t="s">
        <v>1178</v>
      </c>
      <c r="M18" s="54" t="s">
        <v>1179</v>
      </c>
      <c r="N18" s="53" t="s">
        <v>106</v>
      </c>
      <c r="P18" s="53">
        <v>9</v>
      </c>
      <c r="S18" s="53">
        <v>1</v>
      </c>
      <c r="T18" s="53">
        <v>1</v>
      </c>
      <c r="V18" s="53" t="s">
        <v>29</v>
      </c>
      <c r="W18" s="53" t="s">
        <v>1180</v>
      </c>
    </row>
    <row r="19" spans="1:23" x14ac:dyDescent="0.25">
      <c r="A19" s="12">
        <v>17</v>
      </c>
      <c r="B19" s="12" t="s">
        <v>1181</v>
      </c>
      <c r="C19" s="13" t="s">
        <v>1182</v>
      </c>
      <c r="D19" s="12" t="s">
        <v>117</v>
      </c>
      <c r="F19" s="12">
        <v>140</v>
      </c>
      <c r="I19" s="12">
        <v>1</v>
      </c>
      <c r="J19" s="12">
        <v>1</v>
      </c>
      <c r="L19" s="12" t="s">
        <v>1183</v>
      </c>
      <c r="M19" s="13" t="s">
        <v>1184</v>
      </c>
      <c r="N19" s="12" t="s">
        <v>117</v>
      </c>
      <c r="P19" s="12">
        <v>140</v>
      </c>
      <c r="S19" s="12">
        <v>0</v>
      </c>
      <c r="T19" s="12">
        <v>1</v>
      </c>
      <c r="V19" s="12" t="s">
        <v>29</v>
      </c>
      <c r="W19" s="12" t="s">
        <v>29</v>
      </c>
    </row>
    <row r="20" spans="1:23" x14ac:dyDescent="0.25">
      <c r="A20" s="12">
        <v>19</v>
      </c>
      <c r="L20" s="12" t="s">
        <v>1185</v>
      </c>
      <c r="M20" s="13" t="s">
        <v>1186</v>
      </c>
      <c r="N20" s="12" t="s">
        <v>148</v>
      </c>
      <c r="P20" s="12">
        <v>34</v>
      </c>
      <c r="S20" s="14">
        <v>0</v>
      </c>
      <c r="T20" s="12">
        <v>1</v>
      </c>
      <c r="U20" s="12" t="s">
        <v>91</v>
      </c>
      <c r="V20" s="12" t="s">
        <v>118</v>
      </c>
      <c r="W20" s="12" t="s">
        <v>151</v>
      </c>
    </row>
    <row r="21" spans="1:23" s="53" customFormat="1" x14ac:dyDescent="0.25">
      <c r="A21" s="53">
        <v>18</v>
      </c>
      <c r="B21" s="53" t="s">
        <v>1187</v>
      </c>
      <c r="C21" s="54" t="s">
        <v>1188</v>
      </c>
      <c r="D21" s="53" t="s">
        <v>106</v>
      </c>
      <c r="F21" s="53">
        <v>9</v>
      </c>
      <c r="I21" s="53">
        <v>1</v>
      </c>
      <c r="J21" s="53">
        <v>1</v>
      </c>
      <c r="L21" s="53" t="s">
        <v>1189</v>
      </c>
      <c r="M21" s="54" t="s">
        <v>1190</v>
      </c>
      <c r="N21" s="53" t="s">
        <v>106</v>
      </c>
      <c r="P21" s="53">
        <v>9</v>
      </c>
      <c r="S21" s="53">
        <v>1</v>
      </c>
      <c r="T21" s="53">
        <v>1</v>
      </c>
      <c r="V21" s="53" t="s">
        <v>29</v>
      </c>
      <c r="W21" s="53" t="s">
        <v>1180</v>
      </c>
    </row>
  </sheetData>
  <pageMargins left="0.7" right="0.7" top="0.75" bottom="0.75" header="0.51180555555555496" footer="0.3"/>
  <pageSetup firstPageNumber="0" orientation="portrait" horizontalDpi="300" verticalDpi="300" r:id="rId1"/>
  <headerFooter>
    <oddFooter>&amp;C&amp;1#&amp;"Calibri"&amp;10&amp;K000000Confidential / Internal Use Only</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B1:E27"/>
  <sheetViews>
    <sheetView zoomScale="75" zoomScaleNormal="75" workbookViewId="0">
      <selection activeCell="F10" sqref="F10"/>
    </sheetView>
  </sheetViews>
  <sheetFormatPr defaultRowHeight="15" x14ac:dyDescent="0.25"/>
  <cols>
    <col min="1" max="1" width="1.7109375" customWidth="1"/>
    <col min="2" max="2" width="27.7109375" customWidth="1"/>
    <col min="3" max="3" width="21.28515625" customWidth="1"/>
    <col min="4" max="4" width="19.85546875" customWidth="1"/>
    <col min="5" max="1025" width="8.5703125" customWidth="1"/>
  </cols>
  <sheetData>
    <row r="1" spans="2:4" ht="6.75" customHeight="1" x14ac:dyDescent="0.25"/>
    <row r="2" spans="2:4" x14ac:dyDescent="0.25">
      <c r="B2" s="55" t="s">
        <v>1191</v>
      </c>
      <c r="C2" s="56" t="s">
        <v>1192</v>
      </c>
      <c r="D2" s="57" t="s">
        <v>1193</v>
      </c>
    </row>
    <row r="3" spans="2:4" x14ac:dyDescent="0.25">
      <c r="B3" s="58" t="s">
        <v>1194</v>
      </c>
      <c r="C3" s="59" t="s">
        <v>1195</v>
      </c>
      <c r="D3" s="60" t="s">
        <v>1194</v>
      </c>
    </row>
    <row r="4" spans="2:4" x14ac:dyDescent="0.25">
      <c r="B4" s="58" t="s">
        <v>1196</v>
      </c>
      <c r="C4" s="59" t="s">
        <v>1197</v>
      </c>
      <c r="D4" s="60" t="s">
        <v>1196</v>
      </c>
    </row>
    <row r="5" spans="2:4" x14ac:dyDescent="0.25">
      <c r="B5" s="58" t="s">
        <v>1198</v>
      </c>
      <c r="C5" s="59" t="s">
        <v>1199</v>
      </c>
      <c r="D5" s="60"/>
    </row>
    <row r="6" spans="2:4" x14ac:dyDescent="0.25">
      <c r="B6" s="58" t="s">
        <v>1197</v>
      </c>
      <c r="C6" s="59" t="s">
        <v>1198</v>
      </c>
      <c r="D6" s="60"/>
    </row>
    <row r="7" spans="2:4" x14ac:dyDescent="0.25">
      <c r="B7" s="58" t="s">
        <v>1200</v>
      </c>
      <c r="C7" s="59"/>
      <c r="D7" s="60"/>
    </row>
    <row r="8" spans="2:4" x14ac:dyDescent="0.25">
      <c r="B8" s="61" t="s">
        <v>1201</v>
      </c>
      <c r="C8" s="62"/>
      <c r="D8" s="63"/>
    </row>
    <row r="9" spans="2:4" ht="6" customHeight="1" x14ac:dyDescent="0.25">
      <c r="B9" s="59"/>
    </row>
    <row r="10" spans="2:4" x14ac:dyDescent="0.25">
      <c r="B10" s="120" t="s">
        <v>1202</v>
      </c>
      <c r="C10" s="120"/>
      <c r="D10" s="120"/>
    </row>
    <row r="11" spans="2:4" x14ac:dyDescent="0.25">
      <c r="B11" s="64" t="s">
        <v>1203</v>
      </c>
      <c r="C11" s="65" t="s">
        <v>1204</v>
      </c>
      <c r="D11" s="66" t="s">
        <v>1205</v>
      </c>
    </row>
    <row r="12" spans="2:4" x14ac:dyDescent="0.25">
      <c r="B12" s="67" t="s">
        <v>1206</v>
      </c>
      <c r="C12" s="68" t="s">
        <v>1200</v>
      </c>
      <c r="D12" s="60" t="s">
        <v>1207</v>
      </c>
    </row>
    <row r="13" spans="2:4" x14ac:dyDescent="0.25">
      <c r="B13" s="67" t="s">
        <v>1208</v>
      </c>
      <c r="C13" s="68" t="s">
        <v>1201</v>
      </c>
      <c r="D13" s="60" t="s">
        <v>1207</v>
      </c>
    </row>
    <row r="14" spans="2:4" x14ac:dyDescent="0.25">
      <c r="B14" s="67" t="s">
        <v>1209</v>
      </c>
      <c r="C14" s="68" t="s">
        <v>1197</v>
      </c>
      <c r="D14" s="60" t="s">
        <v>1207</v>
      </c>
    </row>
    <row r="15" spans="2:4" x14ac:dyDescent="0.25">
      <c r="B15" s="67" t="s">
        <v>1210</v>
      </c>
      <c r="C15" s="68" t="s">
        <v>1194</v>
      </c>
      <c r="D15" s="60" t="s">
        <v>1207</v>
      </c>
    </row>
    <row r="16" spans="2:4" x14ac:dyDescent="0.25">
      <c r="B16" s="67" t="s">
        <v>1211</v>
      </c>
      <c r="C16" s="68" t="s">
        <v>1196</v>
      </c>
      <c r="D16" s="60" t="s">
        <v>1207</v>
      </c>
    </row>
    <row r="17" spans="2:5" x14ac:dyDescent="0.25">
      <c r="B17" s="67" t="s">
        <v>1212</v>
      </c>
      <c r="C17" s="68" t="s">
        <v>1198</v>
      </c>
      <c r="D17" s="60" t="s">
        <v>1207</v>
      </c>
    </row>
    <row r="18" spans="2:5" x14ac:dyDescent="0.25">
      <c r="B18" s="69" t="s">
        <v>1213</v>
      </c>
      <c r="C18" s="70" t="s">
        <v>1198</v>
      </c>
      <c r="D18" s="63" t="s">
        <v>1207</v>
      </c>
    </row>
    <row r="19" spans="2:5" ht="6.75" customHeight="1" x14ac:dyDescent="0.25">
      <c r="B19" s="59"/>
      <c r="C19" s="59"/>
      <c r="D19" s="59"/>
    </row>
    <row r="20" spans="2:5" x14ac:dyDescent="0.25">
      <c r="B20" s="120" t="s">
        <v>1214</v>
      </c>
      <c r="C20" s="120"/>
      <c r="D20" s="120"/>
    </row>
    <row r="21" spans="2:5" x14ac:dyDescent="0.25">
      <c r="B21" s="71" t="s">
        <v>1215</v>
      </c>
      <c r="C21" s="65" t="s">
        <v>1216</v>
      </c>
      <c r="D21" s="72" t="s">
        <v>1217</v>
      </c>
    </row>
    <row r="22" spans="2:5" x14ac:dyDescent="0.25">
      <c r="B22" s="67" t="s">
        <v>1194</v>
      </c>
      <c r="C22" s="68" t="s">
        <v>1199</v>
      </c>
      <c r="D22" s="60" t="s">
        <v>1194</v>
      </c>
    </row>
    <row r="23" spans="2:5" x14ac:dyDescent="0.25">
      <c r="B23" s="67" t="s">
        <v>1196</v>
      </c>
      <c r="C23" s="68" t="s">
        <v>1199</v>
      </c>
      <c r="D23" s="60" t="s">
        <v>1196</v>
      </c>
    </row>
    <row r="24" spans="2:5" x14ac:dyDescent="0.25">
      <c r="B24" s="67" t="s">
        <v>1198</v>
      </c>
      <c r="C24" s="68" t="s">
        <v>1198</v>
      </c>
      <c r="D24" s="73" t="s">
        <v>1194</v>
      </c>
      <c r="E24" t="s">
        <v>1218</v>
      </c>
    </row>
    <row r="25" spans="2:5" x14ac:dyDescent="0.25">
      <c r="B25" s="67" t="s">
        <v>1197</v>
      </c>
      <c r="C25" s="68" t="s">
        <v>1197</v>
      </c>
      <c r="D25" s="60" t="s">
        <v>1196</v>
      </c>
    </row>
    <row r="26" spans="2:5" x14ac:dyDescent="0.25">
      <c r="B26" s="67" t="s">
        <v>1200</v>
      </c>
      <c r="C26" s="68" t="s">
        <v>1195</v>
      </c>
      <c r="D26" s="60" t="s">
        <v>1194</v>
      </c>
    </row>
    <row r="27" spans="2:5" x14ac:dyDescent="0.25">
      <c r="B27" s="69" t="s">
        <v>1201</v>
      </c>
      <c r="C27" s="70" t="s">
        <v>1195</v>
      </c>
      <c r="D27" s="63" t="s">
        <v>1196</v>
      </c>
    </row>
  </sheetData>
  <mergeCells count="2">
    <mergeCell ref="B10:D10"/>
    <mergeCell ref="B20:D20"/>
  </mergeCells>
  <pageMargins left="0.7" right="0.7" top="0.75" bottom="0.75" header="0.51180555555555496" footer="0.3"/>
  <pageSetup firstPageNumber="0" orientation="portrait" horizontalDpi="300" verticalDpi="300" r:id="rId1"/>
  <headerFooter>
    <oddFooter>&amp;C&amp;1#&amp;"Calibri"&amp;10&amp;K000000Confidential / Internal Use Only</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CD5B5"/>
  </sheetPr>
  <dimension ref="A2:D24"/>
  <sheetViews>
    <sheetView zoomScale="75" zoomScaleNormal="75" workbookViewId="0">
      <selection activeCell="D27" sqref="D27"/>
    </sheetView>
  </sheetViews>
  <sheetFormatPr defaultRowHeight="15" x14ac:dyDescent="0.25"/>
  <cols>
    <col min="1" max="1" width="8.5703125" customWidth="1"/>
    <col min="2" max="3" width="12.28515625" customWidth="1"/>
    <col min="4" max="4" width="128.140625" customWidth="1"/>
    <col min="5" max="1025" width="8.5703125" customWidth="1"/>
  </cols>
  <sheetData>
    <row r="2" spans="1:4" x14ac:dyDescent="0.25">
      <c r="A2" t="s">
        <v>1219</v>
      </c>
    </row>
    <row r="3" spans="1:4" x14ac:dyDescent="0.25">
      <c r="B3" t="s">
        <v>1220</v>
      </c>
    </row>
    <row r="4" spans="1:4" x14ac:dyDescent="0.25">
      <c r="B4" t="s">
        <v>1221</v>
      </c>
    </row>
    <row r="5" spans="1:4" x14ac:dyDescent="0.25">
      <c r="B5" t="s">
        <v>1222</v>
      </c>
    </row>
    <row r="6" spans="1:4" x14ac:dyDescent="0.25">
      <c r="B6" t="s">
        <v>1223</v>
      </c>
      <c r="C6" t="s">
        <v>1224</v>
      </c>
      <c r="D6" t="s">
        <v>1225</v>
      </c>
    </row>
    <row r="7" spans="1:4" x14ac:dyDescent="0.25">
      <c r="B7" t="s">
        <v>1226</v>
      </c>
      <c r="C7">
        <v>140</v>
      </c>
      <c r="D7" s="74" t="s">
        <v>1227</v>
      </c>
    </row>
    <row r="8" spans="1:4" x14ac:dyDescent="0.25">
      <c r="C8">
        <v>140</v>
      </c>
      <c r="D8" s="74" t="s">
        <v>1228</v>
      </c>
    </row>
    <row r="9" spans="1:4" ht="75" x14ac:dyDescent="0.25">
      <c r="C9">
        <v>140</v>
      </c>
      <c r="D9" s="4" t="s">
        <v>1229</v>
      </c>
    </row>
    <row r="10" spans="1:4" x14ac:dyDescent="0.25">
      <c r="B10" s="12" t="s">
        <v>1230</v>
      </c>
      <c r="C10" s="12" t="s">
        <v>1231</v>
      </c>
      <c r="D10" s="12" t="s">
        <v>1232</v>
      </c>
    </row>
    <row r="11" spans="1:4" x14ac:dyDescent="0.25">
      <c r="B11" s="12"/>
      <c r="C11" s="12"/>
      <c r="D11" s="74" t="s">
        <v>1233</v>
      </c>
    </row>
    <row r="12" spans="1:4" ht="45" x14ac:dyDescent="0.25">
      <c r="B12" s="12"/>
      <c r="C12" s="12"/>
      <c r="D12" s="48" t="s">
        <v>1234</v>
      </c>
    </row>
    <row r="13" spans="1:4" x14ac:dyDescent="0.25">
      <c r="B13" s="12" t="s">
        <v>122</v>
      </c>
      <c r="C13" s="12">
        <v>70</v>
      </c>
      <c r="D13" s="75">
        <v>70</v>
      </c>
    </row>
    <row r="14" spans="1:4" x14ac:dyDescent="0.25">
      <c r="B14" s="12" t="s">
        <v>1235</v>
      </c>
      <c r="C14" s="12">
        <v>16</v>
      </c>
      <c r="D14" s="75">
        <v>7</v>
      </c>
    </row>
    <row r="15" spans="1:4" x14ac:dyDescent="0.25">
      <c r="B15" s="12" t="s">
        <v>1236</v>
      </c>
      <c r="C15" s="12">
        <v>16</v>
      </c>
      <c r="D15" s="75">
        <v>16</v>
      </c>
    </row>
    <row r="16" spans="1:4" x14ac:dyDescent="0.25">
      <c r="B16" s="12" t="s">
        <v>132</v>
      </c>
      <c r="C16" s="12">
        <v>35</v>
      </c>
      <c r="D16" s="75">
        <v>35</v>
      </c>
    </row>
    <row r="17" spans="2:4" x14ac:dyDescent="0.25">
      <c r="B17" s="12" t="s">
        <v>1237</v>
      </c>
      <c r="C17" s="12">
        <v>35</v>
      </c>
      <c r="D17" s="75">
        <v>10</v>
      </c>
    </row>
    <row r="18" spans="2:4" x14ac:dyDescent="0.25">
      <c r="B18" s="12" t="s">
        <v>1238</v>
      </c>
      <c r="C18" s="12">
        <v>2</v>
      </c>
      <c r="D18" s="75">
        <v>2</v>
      </c>
    </row>
    <row r="19" spans="2:4" x14ac:dyDescent="0.25">
      <c r="B19" s="12"/>
      <c r="C19" s="12"/>
      <c r="D19" s="75"/>
    </row>
    <row r="20" spans="2:4" x14ac:dyDescent="0.25">
      <c r="C20" t="s">
        <v>1239</v>
      </c>
      <c r="D20" s="74" t="s">
        <v>1240</v>
      </c>
    </row>
    <row r="21" spans="2:4" x14ac:dyDescent="0.25">
      <c r="D21" t="s">
        <v>1241</v>
      </c>
    </row>
    <row r="22" spans="2:4" x14ac:dyDescent="0.25">
      <c r="D22" t="s">
        <v>1242</v>
      </c>
    </row>
    <row r="23" spans="2:4" x14ac:dyDescent="0.25">
      <c r="D23" t="s">
        <v>1243</v>
      </c>
    </row>
    <row r="24" spans="2:4" x14ac:dyDescent="0.25">
      <c r="D24" t="s">
        <v>1244</v>
      </c>
    </row>
  </sheetData>
  <pageMargins left="0.7" right="0.7" top="0.75" bottom="0.75" header="0.51180555555555496" footer="0.3"/>
  <pageSetup firstPageNumber="0" orientation="portrait" horizontalDpi="300" verticalDpi="300" r:id="rId1"/>
  <headerFooter>
    <oddFooter>&amp;C&amp;1#&amp;"Calibri"&amp;10&amp;K000000Confidential / Internal Use Only</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6B9B8"/>
  </sheetPr>
  <dimension ref="B2:G15"/>
  <sheetViews>
    <sheetView zoomScale="75" zoomScaleNormal="75" workbookViewId="0">
      <selection activeCell="C10" sqref="C10"/>
    </sheetView>
  </sheetViews>
  <sheetFormatPr defaultRowHeight="15" x14ac:dyDescent="0.25"/>
  <cols>
    <col min="1" max="1" width="1.5703125" customWidth="1"/>
    <col min="2" max="2" width="11.7109375" customWidth="1"/>
    <col min="3" max="3" width="21" customWidth="1"/>
    <col min="4" max="4" width="18.140625" customWidth="1"/>
    <col min="5" max="5" width="12.42578125" customWidth="1"/>
    <col min="6" max="6" width="16.140625" customWidth="1"/>
    <col min="7" max="7" width="24" customWidth="1"/>
    <col min="8" max="1025" width="8.5703125" customWidth="1"/>
  </cols>
  <sheetData>
    <row r="2" spans="2:7" x14ac:dyDescent="0.25">
      <c r="B2" s="76" t="s">
        <v>12</v>
      </c>
      <c r="C2" s="77" t="s">
        <v>747</v>
      </c>
      <c r="D2" s="78" t="s">
        <v>1245</v>
      </c>
      <c r="E2" s="76" t="s">
        <v>19</v>
      </c>
      <c r="F2" s="77" t="s">
        <v>747</v>
      </c>
      <c r="G2" s="78" t="s">
        <v>1246</v>
      </c>
    </row>
    <row r="3" spans="2:7" x14ac:dyDescent="0.25">
      <c r="B3" s="67" t="s">
        <v>1247</v>
      </c>
      <c r="C3" s="59" t="s">
        <v>1248</v>
      </c>
      <c r="D3" s="60" t="s">
        <v>1249</v>
      </c>
      <c r="E3" s="67" t="s">
        <v>1247</v>
      </c>
      <c r="F3" s="59" t="s">
        <v>1250</v>
      </c>
      <c r="G3" s="60" t="s">
        <v>118</v>
      </c>
    </row>
    <row r="4" spans="2:7" x14ac:dyDescent="0.25">
      <c r="B4" s="67"/>
      <c r="C4" s="59" t="s">
        <v>1251</v>
      </c>
      <c r="D4" s="60" t="s">
        <v>1252</v>
      </c>
      <c r="E4" s="67"/>
      <c r="F4" s="59" t="s">
        <v>1249</v>
      </c>
      <c r="G4" s="60" t="s">
        <v>1248</v>
      </c>
    </row>
    <row r="5" spans="2:7" x14ac:dyDescent="0.25">
      <c r="B5" s="67"/>
      <c r="C5" s="59" t="s">
        <v>1253</v>
      </c>
      <c r="D5" s="60" t="s">
        <v>1254</v>
      </c>
      <c r="E5" s="67"/>
      <c r="F5" s="59" t="s">
        <v>1252</v>
      </c>
      <c r="G5" s="60" t="s">
        <v>1251</v>
      </c>
    </row>
    <row r="6" spans="2:7" x14ac:dyDescent="0.25">
      <c r="B6" s="67"/>
      <c r="C6" s="59" t="s">
        <v>1255</v>
      </c>
      <c r="D6" s="60" t="s">
        <v>1256</v>
      </c>
      <c r="E6" s="67"/>
      <c r="F6" s="59" t="s">
        <v>1254</v>
      </c>
      <c r="G6" s="60" t="s">
        <v>1253</v>
      </c>
    </row>
    <row r="7" spans="2:7" x14ac:dyDescent="0.25">
      <c r="B7" s="67"/>
      <c r="C7" s="59" t="s">
        <v>1257</v>
      </c>
      <c r="D7" s="60" t="s">
        <v>1258</v>
      </c>
      <c r="E7" s="67"/>
      <c r="F7" s="59" t="s">
        <v>1256</v>
      </c>
      <c r="G7" s="60" t="s">
        <v>1255</v>
      </c>
    </row>
    <row r="8" spans="2:7" x14ac:dyDescent="0.25">
      <c r="B8" s="67"/>
      <c r="C8" s="59" t="s">
        <v>1259</v>
      </c>
      <c r="D8" s="60" t="s">
        <v>1260</v>
      </c>
      <c r="E8" s="67"/>
      <c r="F8" s="59" t="s">
        <v>1258</v>
      </c>
      <c r="G8" s="60" t="s">
        <v>1257</v>
      </c>
    </row>
    <row r="9" spans="2:7" x14ac:dyDescent="0.25">
      <c r="B9" s="67"/>
      <c r="C9" s="59" t="s">
        <v>753</v>
      </c>
      <c r="D9" s="60" t="s">
        <v>754</v>
      </c>
      <c r="E9" s="67"/>
      <c r="F9" s="59" t="s">
        <v>1260</v>
      </c>
      <c r="G9" s="60" t="s">
        <v>1259</v>
      </c>
    </row>
    <row r="10" spans="2:7" x14ac:dyDescent="0.25">
      <c r="B10" s="67"/>
      <c r="C10" s="59" t="s">
        <v>1261</v>
      </c>
      <c r="D10" s="60" t="s">
        <v>1261</v>
      </c>
      <c r="E10" s="67"/>
      <c r="F10" s="59" t="s">
        <v>754</v>
      </c>
      <c r="G10" s="60" t="s">
        <v>753</v>
      </c>
    </row>
    <row r="11" spans="2:7" x14ac:dyDescent="0.25">
      <c r="B11" s="67"/>
      <c r="C11" s="59" t="s">
        <v>1262</v>
      </c>
      <c r="D11" s="60" t="s">
        <v>1263</v>
      </c>
      <c r="E11" s="67"/>
      <c r="F11" s="59" t="s">
        <v>1264</v>
      </c>
      <c r="G11" s="60" t="s">
        <v>118</v>
      </c>
    </row>
    <row r="12" spans="2:7" x14ac:dyDescent="0.25">
      <c r="B12" s="67"/>
      <c r="C12" s="59" t="s">
        <v>1265</v>
      </c>
      <c r="D12" s="60" t="s">
        <v>1266</v>
      </c>
      <c r="E12" s="67"/>
      <c r="F12" s="59" t="s">
        <v>1267</v>
      </c>
      <c r="G12" s="60" t="s">
        <v>118</v>
      </c>
    </row>
    <row r="13" spans="2:7" x14ac:dyDescent="0.25">
      <c r="B13" s="67"/>
      <c r="C13" s="59"/>
      <c r="D13" s="60"/>
      <c r="E13" s="67"/>
      <c r="F13" s="59" t="s">
        <v>749</v>
      </c>
      <c r="G13" s="60" t="s">
        <v>1261</v>
      </c>
    </row>
    <row r="14" spans="2:7" x14ac:dyDescent="0.25">
      <c r="B14" s="67"/>
      <c r="C14" s="59"/>
      <c r="D14" s="60"/>
      <c r="E14" s="67"/>
      <c r="F14" s="59" t="s">
        <v>1263</v>
      </c>
      <c r="G14" s="60" t="s">
        <v>1262</v>
      </c>
    </row>
    <row r="15" spans="2:7" x14ac:dyDescent="0.25">
      <c r="B15" s="69"/>
      <c r="C15" s="62"/>
      <c r="D15" s="63"/>
      <c r="E15" s="69"/>
      <c r="F15" s="62" t="s">
        <v>1266</v>
      </c>
      <c r="G15" s="63" t="s">
        <v>1265</v>
      </c>
    </row>
  </sheetData>
  <pageMargins left="0.7" right="0.7" top="0.75" bottom="0.75" header="0.51180555555555496" footer="0.3"/>
  <pageSetup firstPageNumber="0" orientation="portrait" horizontalDpi="300" verticalDpi="300" r:id="rId1"/>
  <headerFooter>
    <oddFooter>&amp;C&amp;1#&amp;"Calibri"&amp;10&amp;K000000Confidential / Internal Use Only</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5B3D7"/>
  </sheetPr>
  <dimension ref="B1:H70"/>
  <sheetViews>
    <sheetView zoomScale="75" zoomScaleNormal="75" workbookViewId="0">
      <pane xSplit="1" ySplit="1" topLeftCell="B14" activePane="bottomRight" state="frozen"/>
      <selection pane="topRight" activeCell="B1" sqref="B1"/>
      <selection pane="bottomLeft" activeCell="A2" sqref="A2"/>
      <selection pane="bottomRight" activeCell="F51" sqref="F51"/>
    </sheetView>
  </sheetViews>
  <sheetFormatPr defaultRowHeight="15" x14ac:dyDescent="0.25"/>
  <cols>
    <col min="1" max="1" width="0.5703125" customWidth="1"/>
    <col min="2" max="2" width="11.7109375" customWidth="1"/>
    <col min="3" max="3" width="21" customWidth="1"/>
    <col min="4" max="4" width="39.140625" customWidth="1"/>
    <col min="5" max="5" width="12.42578125" customWidth="1"/>
    <col min="6" max="6" width="16.140625" customWidth="1"/>
    <col min="7" max="7" width="38.42578125" customWidth="1"/>
    <col min="8" max="1025" width="8.5703125" customWidth="1"/>
  </cols>
  <sheetData>
    <row r="1" spans="2:7" x14ac:dyDescent="0.25">
      <c r="B1" s="76" t="s">
        <v>12</v>
      </c>
      <c r="C1" s="77" t="s">
        <v>747</v>
      </c>
      <c r="D1" s="78" t="s">
        <v>1245</v>
      </c>
      <c r="E1" s="76" t="s">
        <v>19</v>
      </c>
      <c r="F1" s="77" t="s">
        <v>747</v>
      </c>
      <c r="G1" s="78" t="s">
        <v>1246</v>
      </c>
    </row>
    <row r="2" spans="2:7" x14ac:dyDescent="0.25">
      <c r="B2" s="67" t="s">
        <v>1268</v>
      </c>
      <c r="C2" s="59" t="s">
        <v>1269</v>
      </c>
      <c r="D2" s="60" t="s">
        <v>1269</v>
      </c>
      <c r="E2" s="67" t="s">
        <v>1268</v>
      </c>
      <c r="F2" s="59" t="s">
        <v>1269</v>
      </c>
      <c r="G2" s="60" t="s">
        <v>1269</v>
      </c>
    </row>
    <row r="3" spans="2:7" x14ac:dyDescent="0.25">
      <c r="B3" s="67"/>
      <c r="C3" s="59" t="s">
        <v>1270</v>
      </c>
      <c r="D3" s="60" t="s">
        <v>1270</v>
      </c>
      <c r="E3" s="67"/>
      <c r="F3" s="59" t="s">
        <v>1270</v>
      </c>
      <c r="G3" s="60" t="s">
        <v>1270</v>
      </c>
    </row>
    <row r="4" spans="2:7" x14ac:dyDescent="0.25">
      <c r="B4" s="67"/>
      <c r="C4" s="59" t="s">
        <v>1271</v>
      </c>
      <c r="D4" s="60" t="s">
        <v>1271</v>
      </c>
      <c r="E4" s="67"/>
      <c r="F4" s="59" t="s">
        <v>1271</v>
      </c>
      <c r="G4" s="60" t="s">
        <v>1271</v>
      </c>
    </row>
    <row r="5" spans="2:7" x14ac:dyDescent="0.25">
      <c r="B5" s="67"/>
      <c r="C5" s="59" t="s">
        <v>1272</v>
      </c>
      <c r="D5" s="60" t="s">
        <v>1272</v>
      </c>
      <c r="E5" s="67"/>
      <c r="F5" s="59" t="s">
        <v>1272</v>
      </c>
      <c r="G5" s="60" t="s">
        <v>1272</v>
      </c>
    </row>
    <row r="6" spans="2:7" x14ac:dyDescent="0.25">
      <c r="B6" s="67"/>
      <c r="C6" s="59" t="s">
        <v>1273</v>
      </c>
      <c r="D6" s="60" t="s">
        <v>1273</v>
      </c>
      <c r="E6" s="67"/>
      <c r="F6" s="59" t="s">
        <v>1273</v>
      </c>
      <c r="G6" s="60" t="s">
        <v>1273</v>
      </c>
    </row>
    <row r="7" spans="2:7" x14ac:dyDescent="0.25">
      <c r="B7" s="67"/>
      <c r="C7" s="59" t="s">
        <v>1274</v>
      </c>
      <c r="D7" s="60" t="s">
        <v>1275</v>
      </c>
      <c r="E7" s="67"/>
      <c r="F7" s="59" t="s">
        <v>1276</v>
      </c>
      <c r="G7" s="60" t="s">
        <v>1276</v>
      </c>
    </row>
    <row r="8" spans="2:7" x14ac:dyDescent="0.25">
      <c r="B8" s="67"/>
      <c r="C8" s="59" t="s">
        <v>1277</v>
      </c>
      <c r="D8" s="60" t="s">
        <v>1278</v>
      </c>
      <c r="E8" s="67"/>
      <c r="F8" s="59" t="s">
        <v>1279</v>
      </c>
      <c r="G8" s="60" t="s">
        <v>1279</v>
      </c>
    </row>
    <row r="9" spans="2:7" x14ac:dyDescent="0.25">
      <c r="B9" s="67"/>
      <c r="C9" s="59" t="s">
        <v>1280</v>
      </c>
      <c r="D9" s="60" t="s">
        <v>1281</v>
      </c>
      <c r="E9" s="67"/>
      <c r="F9" s="59" t="s">
        <v>1282</v>
      </c>
      <c r="G9" s="60" t="s">
        <v>1283</v>
      </c>
    </row>
    <row r="10" spans="2:7" x14ac:dyDescent="0.25">
      <c r="B10" s="67"/>
      <c r="C10" s="59" t="s">
        <v>1284</v>
      </c>
      <c r="D10" s="60" t="s">
        <v>1285</v>
      </c>
      <c r="E10" s="67"/>
      <c r="F10" s="59" t="s">
        <v>1286</v>
      </c>
      <c r="G10" s="60" t="s">
        <v>1286</v>
      </c>
    </row>
    <row r="11" spans="2:7" x14ac:dyDescent="0.25">
      <c r="B11" s="67"/>
      <c r="C11" s="59" t="s">
        <v>1276</v>
      </c>
      <c r="D11" s="60" t="s">
        <v>1276</v>
      </c>
      <c r="E11" s="67"/>
      <c r="F11" s="59" t="s">
        <v>1287</v>
      </c>
      <c r="G11" s="60" t="s">
        <v>1287</v>
      </c>
    </row>
    <row r="12" spans="2:7" x14ac:dyDescent="0.25">
      <c r="B12" s="67"/>
      <c r="C12" s="59" t="s">
        <v>1279</v>
      </c>
      <c r="D12" s="60" t="s">
        <v>1279</v>
      </c>
      <c r="E12" s="67"/>
      <c r="F12" s="59" t="s">
        <v>1288</v>
      </c>
      <c r="G12" s="60" t="s">
        <v>1288</v>
      </c>
    </row>
    <row r="13" spans="2:7" x14ac:dyDescent="0.25">
      <c r="B13" s="67"/>
      <c r="C13" s="59" t="s">
        <v>1286</v>
      </c>
      <c r="D13" s="60" t="s">
        <v>1286</v>
      </c>
      <c r="E13" s="67"/>
      <c r="F13" s="59" t="s">
        <v>1289</v>
      </c>
      <c r="G13" s="60" t="s">
        <v>1289</v>
      </c>
    </row>
    <row r="14" spans="2:7" x14ac:dyDescent="0.25">
      <c r="B14" s="67"/>
      <c r="C14" s="59" t="s">
        <v>1287</v>
      </c>
      <c r="D14" s="60" t="s">
        <v>1287</v>
      </c>
      <c r="E14" s="67"/>
      <c r="F14" s="59" t="s">
        <v>1290</v>
      </c>
      <c r="G14" s="60" t="s">
        <v>1290</v>
      </c>
    </row>
    <row r="15" spans="2:7" x14ac:dyDescent="0.25">
      <c r="B15" s="67"/>
      <c r="C15" s="59" t="s">
        <v>1288</v>
      </c>
      <c r="D15" s="60" t="s">
        <v>1288</v>
      </c>
      <c r="E15" s="67"/>
      <c r="F15" s="59" t="s">
        <v>1291</v>
      </c>
      <c r="G15" s="60" t="s">
        <v>1291</v>
      </c>
    </row>
    <row r="16" spans="2:7" x14ac:dyDescent="0.25">
      <c r="B16" s="67"/>
      <c r="C16" s="59" t="s">
        <v>1289</v>
      </c>
      <c r="D16" s="60" t="s">
        <v>1289</v>
      </c>
      <c r="E16" s="67"/>
      <c r="F16" s="59" t="s">
        <v>1292</v>
      </c>
      <c r="G16" s="60" t="s">
        <v>1292</v>
      </c>
    </row>
    <row r="17" spans="2:7" x14ac:dyDescent="0.25">
      <c r="B17" s="67"/>
      <c r="C17" s="59" t="s">
        <v>1290</v>
      </c>
      <c r="D17" s="60" t="s">
        <v>1290</v>
      </c>
      <c r="E17" s="67"/>
      <c r="F17" s="59" t="s">
        <v>1293</v>
      </c>
      <c r="G17" s="60" t="s">
        <v>1293</v>
      </c>
    </row>
    <row r="18" spans="2:7" x14ac:dyDescent="0.25">
      <c r="B18" s="67"/>
      <c r="C18" s="59" t="s">
        <v>1291</v>
      </c>
      <c r="D18" s="60" t="s">
        <v>1291</v>
      </c>
      <c r="E18" s="67"/>
      <c r="F18" s="59" t="s">
        <v>1294</v>
      </c>
      <c r="G18" s="60" t="s">
        <v>1294</v>
      </c>
    </row>
    <row r="19" spans="2:7" x14ac:dyDescent="0.25">
      <c r="B19" s="67"/>
      <c r="C19" s="59" t="s">
        <v>1292</v>
      </c>
      <c r="D19" s="60" t="s">
        <v>1292</v>
      </c>
      <c r="E19" s="67"/>
      <c r="F19" s="59" t="s">
        <v>1295</v>
      </c>
      <c r="G19" s="60" t="s">
        <v>1295</v>
      </c>
    </row>
    <row r="20" spans="2:7" x14ac:dyDescent="0.25">
      <c r="B20" s="67"/>
      <c r="C20" s="59" t="s">
        <v>1293</v>
      </c>
      <c r="D20" s="60" t="s">
        <v>1293</v>
      </c>
      <c r="E20" s="67"/>
      <c r="F20" s="59" t="s">
        <v>1296</v>
      </c>
      <c r="G20" s="60" t="s">
        <v>1296</v>
      </c>
    </row>
    <row r="21" spans="2:7" x14ac:dyDescent="0.25">
      <c r="B21" s="67"/>
      <c r="C21" s="59" t="s">
        <v>1294</v>
      </c>
      <c r="D21" s="60" t="s">
        <v>1294</v>
      </c>
      <c r="E21" s="67"/>
      <c r="F21" s="59" t="s">
        <v>1297</v>
      </c>
      <c r="G21" s="60" t="s">
        <v>1297</v>
      </c>
    </row>
    <row r="22" spans="2:7" x14ac:dyDescent="0.25">
      <c r="B22" s="67"/>
      <c r="C22" s="59" t="s">
        <v>1295</v>
      </c>
      <c r="D22" s="60" t="s">
        <v>1295</v>
      </c>
      <c r="E22" s="67"/>
      <c r="F22" s="59" t="s">
        <v>1298</v>
      </c>
      <c r="G22" s="60" t="s">
        <v>1298</v>
      </c>
    </row>
    <row r="23" spans="2:7" x14ac:dyDescent="0.25">
      <c r="B23" s="67"/>
      <c r="C23" s="59" t="s">
        <v>1296</v>
      </c>
      <c r="D23" s="60" t="s">
        <v>1296</v>
      </c>
      <c r="E23" s="67"/>
      <c r="F23" s="59" t="s">
        <v>1299</v>
      </c>
      <c r="G23" s="60" t="s">
        <v>1299</v>
      </c>
    </row>
    <row r="24" spans="2:7" x14ac:dyDescent="0.25">
      <c r="B24" s="67"/>
      <c r="C24" s="59" t="s">
        <v>1297</v>
      </c>
      <c r="D24" s="60" t="s">
        <v>1297</v>
      </c>
      <c r="E24" s="67"/>
      <c r="F24" s="59" t="s">
        <v>1300</v>
      </c>
      <c r="G24" s="60" t="s">
        <v>1300</v>
      </c>
    </row>
    <row r="25" spans="2:7" x14ac:dyDescent="0.25">
      <c r="B25" s="67"/>
      <c r="C25" s="59" t="s">
        <v>1298</v>
      </c>
      <c r="D25" s="60" t="s">
        <v>1298</v>
      </c>
      <c r="E25" s="67"/>
      <c r="F25" s="59" t="s">
        <v>1301</v>
      </c>
      <c r="G25" s="60" t="s">
        <v>1301</v>
      </c>
    </row>
    <row r="26" spans="2:7" x14ac:dyDescent="0.25">
      <c r="B26" s="67"/>
      <c r="C26" s="59" t="s">
        <v>1299</v>
      </c>
      <c r="D26" s="60" t="s">
        <v>1299</v>
      </c>
      <c r="E26" s="67"/>
      <c r="F26" s="59" t="s">
        <v>1302</v>
      </c>
      <c r="G26" s="60" t="s">
        <v>1302</v>
      </c>
    </row>
    <row r="27" spans="2:7" x14ac:dyDescent="0.25">
      <c r="B27" s="67"/>
      <c r="C27" s="59" t="s">
        <v>1300</v>
      </c>
      <c r="D27" s="60" t="s">
        <v>1300</v>
      </c>
      <c r="E27" s="67"/>
      <c r="F27" s="59" t="s">
        <v>1303</v>
      </c>
      <c r="G27" s="60" t="s">
        <v>1303</v>
      </c>
    </row>
    <row r="28" spans="2:7" x14ac:dyDescent="0.25">
      <c r="B28" s="67"/>
      <c r="C28" s="59" t="s">
        <v>1301</v>
      </c>
      <c r="D28" s="60" t="s">
        <v>1301</v>
      </c>
      <c r="E28" s="67"/>
      <c r="F28" s="59" t="s">
        <v>1304</v>
      </c>
      <c r="G28" s="60" t="s">
        <v>1304</v>
      </c>
    </row>
    <row r="29" spans="2:7" x14ac:dyDescent="0.25">
      <c r="B29" s="67"/>
      <c r="C29" s="59" t="s">
        <v>1302</v>
      </c>
      <c r="D29" s="60" t="s">
        <v>1302</v>
      </c>
      <c r="E29" s="67"/>
      <c r="F29" s="59" t="s">
        <v>1305</v>
      </c>
      <c r="G29" s="60" t="s">
        <v>1305</v>
      </c>
    </row>
    <row r="30" spans="2:7" x14ac:dyDescent="0.25">
      <c r="B30" s="67"/>
      <c r="C30" s="59" t="s">
        <v>1303</v>
      </c>
      <c r="D30" s="60" t="s">
        <v>1303</v>
      </c>
      <c r="E30" s="67"/>
      <c r="F30" s="59" t="s">
        <v>1306</v>
      </c>
      <c r="G30" s="60" t="s">
        <v>1306</v>
      </c>
    </row>
    <row r="31" spans="2:7" x14ac:dyDescent="0.25">
      <c r="B31" s="67"/>
      <c r="C31" s="59" t="s">
        <v>1304</v>
      </c>
      <c r="D31" s="60" t="s">
        <v>1304</v>
      </c>
      <c r="E31" s="67"/>
      <c r="F31" s="59" t="s">
        <v>1307</v>
      </c>
      <c r="G31" s="60" t="s">
        <v>1307</v>
      </c>
    </row>
    <row r="32" spans="2:7" x14ac:dyDescent="0.25">
      <c r="B32" s="67"/>
      <c r="C32" s="59" t="s">
        <v>1305</v>
      </c>
      <c r="D32" s="60" t="s">
        <v>1305</v>
      </c>
      <c r="E32" s="67"/>
      <c r="F32" s="59" t="s">
        <v>1308</v>
      </c>
      <c r="G32" s="60" t="s">
        <v>1308</v>
      </c>
    </row>
    <row r="33" spans="2:8" x14ac:dyDescent="0.25">
      <c r="B33" s="67"/>
      <c r="C33" s="59" t="s">
        <v>1306</v>
      </c>
      <c r="D33" s="60" t="s">
        <v>1306</v>
      </c>
      <c r="E33" s="67"/>
      <c r="F33" s="59" t="s">
        <v>1309</v>
      </c>
      <c r="G33" s="60" t="s">
        <v>1309</v>
      </c>
    </row>
    <row r="34" spans="2:8" x14ac:dyDescent="0.25">
      <c r="B34" s="67"/>
      <c r="C34" s="59" t="s">
        <v>1307</v>
      </c>
      <c r="D34" s="60" t="s">
        <v>1307</v>
      </c>
      <c r="E34" s="67"/>
      <c r="F34" s="59" t="s">
        <v>758</v>
      </c>
      <c r="G34" s="60" t="s">
        <v>758</v>
      </c>
    </row>
    <row r="35" spans="2:8" x14ac:dyDescent="0.25">
      <c r="B35" s="67"/>
      <c r="C35" s="59" t="s">
        <v>1308</v>
      </c>
      <c r="D35" s="60" t="s">
        <v>1308</v>
      </c>
      <c r="E35" s="67"/>
      <c r="F35" s="59" t="s">
        <v>1310</v>
      </c>
      <c r="G35" s="60" t="s">
        <v>1310</v>
      </c>
    </row>
    <row r="36" spans="2:8" x14ac:dyDescent="0.25">
      <c r="B36" s="67"/>
      <c r="C36" s="59" t="s">
        <v>1309</v>
      </c>
      <c r="D36" s="60" t="s">
        <v>1309</v>
      </c>
      <c r="E36" s="67"/>
      <c r="F36" s="59" t="s">
        <v>1311</v>
      </c>
      <c r="G36" s="60" t="s">
        <v>1311</v>
      </c>
    </row>
    <row r="37" spans="2:8" x14ac:dyDescent="0.25">
      <c r="B37" s="67"/>
      <c r="C37" s="59" t="s">
        <v>758</v>
      </c>
      <c r="D37" s="60" t="s">
        <v>758</v>
      </c>
      <c r="E37" s="67"/>
      <c r="F37" s="59" t="s">
        <v>1312</v>
      </c>
      <c r="G37" s="60" t="s">
        <v>1312</v>
      </c>
    </row>
    <row r="38" spans="2:8" x14ac:dyDescent="0.25">
      <c r="B38" s="67"/>
      <c r="C38" s="59" t="s">
        <v>1310</v>
      </c>
      <c r="D38" s="60" t="s">
        <v>1310</v>
      </c>
      <c r="E38" s="67"/>
      <c r="F38" s="59" t="s">
        <v>1313</v>
      </c>
      <c r="G38" s="60" t="s">
        <v>1313</v>
      </c>
    </row>
    <row r="39" spans="2:8" x14ac:dyDescent="0.25">
      <c r="B39" s="67"/>
      <c r="C39" s="59" t="s">
        <v>1311</v>
      </c>
      <c r="D39" s="60" t="s">
        <v>1311</v>
      </c>
      <c r="E39" s="67"/>
      <c r="F39" s="59" t="s">
        <v>1314</v>
      </c>
      <c r="G39" s="60" t="s">
        <v>1315</v>
      </c>
    </row>
    <row r="40" spans="2:8" x14ac:dyDescent="0.25">
      <c r="B40" s="67"/>
      <c r="C40" s="59" t="s">
        <v>1312</v>
      </c>
      <c r="D40" s="60" t="s">
        <v>1312</v>
      </c>
      <c r="E40" s="67"/>
      <c r="F40" s="59"/>
      <c r="G40" s="60"/>
    </row>
    <row r="41" spans="2:8" ht="16.5" x14ac:dyDescent="0.3">
      <c r="B41" s="67"/>
      <c r="C41" s="59"/>
      <c r="D41" s="60"/>
      <c r="E41" s="67"/>
      <c r="F41" s="93" t="s">
        <v>1364</v>
      </c>
      <c r="G41" s="94" t="s">
        <v>1374</v>
      </c>
      <c r="H41" s="52" t="s">
        <v>1375</v>
      </c>
    </row>
    <row r="42" spans="2:8" ht="16.5" x14ac:dyDescent="0.3">
      <c r="B42" s="67"/>
      <c r="C42" s="59"/>
      <c r="D42" s="60"/>
      <c r="E42" s="67"/>
      <c r="F42" s="93" t="s">
        <v>1365</v>
      </c>
      <c r="G42" s="94" t="s">
        <v>1374</v>
      </c>
    </row>
    <row r="43" spans="2:8" ht="16.5" x14ac:dyDescent="0.3">
      <c r="B43" s="67"/>
      <c r="C43" s="59"/>
      <c r="D43" s="60"/>
      <c r="E43" s="67"/>
      <c r="F43" s="93" t="s">
        <v>1366</v>
      </c>
      <c r="G43" s="94" t="s">
        <v>1374</v>
      </c>
    </row>
    <row r="44" spans="2:8" ht="16.5" x14ac:dyDescent="0.3">
      <c r="B44" s="67"/>
      <c r="C44" s="59"/>
      <c r="D44" s="60"/>
      <c r="E44" s="67"/>
      <c r="F44" s="93" t="s">
        <v>1367</v>
      </c>
      <c r="G44" s="94" t="s">
        <v>1374</v>
      </c>
    </row>
    <row r="45" spans="2:8" ht="16.5" x14ac:dyDescent="0.3">
      <c r="B45" s="67"/>
      <c r="C45" s="59"/>
      <c r="D45" s="60"/>
      <c r="E45" s="67"/>
      <c r="F45" s="93" t="s">
        <v>1368</v>
      </c>
      <c r="G45" s="94" t="s">
        <v>1374</v>
      </c>
    </row>
    <row r="46" spans="2:8" ht="16.5" x14ac:dyDescent="0.3">
      <c r="B46" s="67"/>
      <c r="C46" s="59"/>
      <c r="D46" s="60"/>
      <c r="E46" s="67"/>
      <c r="F46" s="93" t="s">
        <v>1369</v>
      </c>
      <c r="G46" s="94" t="s">
        <v>1374</v>
      </c>
    </row>
    <row r="47" spans="2:8" ht="16.5" x14ac:dyDescent="0.3">
      <c r="B47" s="67"/>
      <c r="C47" s="59"/>
      <c r="D47" s="60"/>
      <c r="E47" s="67"/>
      <c r="F47" s="93" t="s">
        <v>1370</v>
      </c>
      <c r="G47" s="94" t="s">
        <v>1374</v>
      </c>
    </row>
    <row r="48" spans="2:8" ht="16.5" x14ac:dyDescent="0.3">
      <c r="B48" s="67"/>
      <c r="C48" s="59"/>
      <c r="D48" s="60"/>
      <c r="E48" s="67"/>
      <c r="F48" s="93" t="s">
        <v>1371</v>
      </c>
      <c r="G48" s="94" t="s">
        <v>1374</v>
      </c>
    </row>
    <row r="49" spans="2:7" ht="16.5" x14ac:dyDescent="0.3">
      <c r="B49" s="67"/>
      <c r="C49" s="59"/>
      <c r="D49" s="60"/>
      <c r="E49" s="67"/>
      <c r="F49" s="93" t="s">
        <v>1372</v>
      </c>
      <c r="G49" s="94" t="s">
        <v>1374</v>
      </c>
    </row>
    <row r="50" spans="2:7" ht="16.5" x14ac:dyDescent="0.3">
      <c r="B50" s="67"/>
      <c r="C50" s="59"/>
      <c r="D50" s="60"/>
      <c r="E50" s="67"/>
      <c r="F50" s="93" t="s">
        <v>1373</v>
      </c>
      <c r="G50" s="94" t="s">
        <v>1374</v>
      </c>
    </row>
    <row r="51" spans="2:7" ht="16.5" x14ac:dyDescent="0.3">
      <c r="B51" s="67"/>
      <c r="C51" s="59"/>
      <c r="D51" s="60"/>
      <c r="E51" s="67"/>
      <c r="F51" s="95">
        <v>9914</v>
      </c>
      <c r="G51" s="94" t="s">
        <v>1374</v>
      </c>
    </row>
    <row r="52" spans="2:7" x14ac:dyDescent="0.25">
      <c r="B52" s="67"/>
      <c r="C52" s="59"/>
      <c r="D52" s="60"/>
      <c r="E52" s="67"/>
      <c r="F52" s="59"/>
      <c r="G52" s="60"/>
    </row>
    <row r="53" spans="2:7" x14ac:dyDescent="0.25">
      <c r="B53" s="67"/>
      <c r="C53" s="59"/>
      <c r="D53" s="60"/>
      <c r="E53" s="67"/>
      <c r="F53" s="59"/>
      <c r="G53" s="60"/>
    </row>
    <row r="54" spans="2:7" x14ac:dyDescent="0.25">
      <c r="B54" s="67"/>
      <c r="C54" s="59"/>
      <c r="D54" s="60"/>
      <c r="E54" s="67"/>
      <c r="F54" s="59"/>
      <c r="G54" s="60"/>
    </row>
    <row r="55" spans="2:7" x14ac:dyDescent="0.25">
      <c r="B55" s="67"/>
      <c r="C55" s="59"/>
      <c r="D55" s="60"/>
      <c r="E55" s="67"/>
      <c r="F55" s="59"/>
      <c r="G55" s="60"/>
    </row>
    <row r="56" spans="2:7" x14ac:dyDescent="0.25">
      <c r="B56" s="67"/>
      <c r="C56" s="59" t="s">
        <v>1313</v>
      </c>
      <c r="D56" s="60" t="s">
        <v>1313</v>
      </c>
      <c r="E56" s="67"/>
      <c r="F56" s="59"/>
      <c r="G56" s="60"/>
    </row>
    <row r="57" spans="2:7" x14ac:dyDescent="0.25">
      <c r="B57" s="79" t="s">
        <v>1316</v>
      </c>
      <c r="C57" s="80">
        <v>1100</v>
      </c>
      <c r="D57" s="81">
        <v>1100</v>
      </c>
      <c r="E57" s="79" t="s">
        <v>1316</v>
      </c>
      <c r="F57" s="80">
        <v>1100</v>
      </c>
      <c r="G57" s="81">
        <v>1100</v>
      </c>
    </row>
    <row r="58" spans="2:7" x14ac:dyDescent="0.25">
      <c r="B58" s="67"/>
      <c r="C58" s="59">
        <v>9909</v>
      </c>
      <c r="D58" s="60">
        <v>9909</v>
      </c>
      <c r="E58" s="67"/>
      <c r="F58" s="59">
        <v>9909</v>
      </c>
      <c r="G58" s="60">
        <v>9909</v>
      </c>
    </row>
    <row r="59" spans="2:7" x14ac:dyDescent="0.25">
      <c r="B59" s="67"/>
      <c r="C59" s="59">
        <v>9910</v>
      </c>
      <c r="D59" s="60">
        <v>9910</v>
      </c>
      <c r="E59" s="67"/>
      <c r="F59" s="59">
        <v>9910</v>
      </c>
      <c r="G59" s="60">
        <v>9910</v>
      </c>
    </row>
    <row r="60" spans="2:7" x14ac:dyDescent="0.25">
      <c r="B60" s="67"/>
      <c r="C60" s="59">
        <v>9912</v>
      </c>
      <c r="D60" s="60">
        <v>9912</v>
      </c>
      <c r="E60" s="67"/>
      <c r="F60" s="59">
        <v>9912</v>
      </c>
      <c r="G60" s="60">
        <v>9912</v>
      </c>
    </row>
    <row r="61" spans="2:7" x14ac:dyDescent="0.25">
      <c r="B61" s="67"/>
      <c r="C61" s="59">
        <v>9934</v>
      </c>
      <c r="D61" s="60">
        <v>9934</v>
      </c>
      <c r="E61" s="67"/>
      <c r="F61" s="59">
        <v>9934</v>
      </c>
      <c r="G61" s="60">
        <v>9934</v>
      </c>
    </row>
    <row r="62" spans="2:7" x14ac:dyDescent="0.25">
      <c r="B62" s="67"/>
      <c r="C62" s="59">
        <v>9946</v>
      </c>
      <c r="D62" s="60">
        <v>9946</v>
      </c>
      <c r="E62" s="67"/>
      <c r="F62" s="59">
        <v>9946</v>
      </c>
      <c r="G62" s="60">
        <v>9946</v>
      </c>
    </row>
    <row r="63" spans="2:7" x14ac:dyDescent="0.25">
      <c r="B63" s="67"/>
      <c r="C63" s="59">
        <v>9947</v>
      </c>
      <c r="D63" s="60">
        <v>9947</v>
      </c>
      <c r="E63" s="67"/>
      <c r="F63" s="59">
        <v>9947</v>
      </c>
      <c r="G63" s="60">
        <v>9947</v>
      </c>
    </row>
    <row r="64" spans="2:7" x14ac:dyDescent="0.25">
      <c r="B64" s="67"/>
      <c r="C64" s="59">
        <v>9948</v>
      </c>
      <c r="D64" s="60">
        <v>9948</v>
      </c>
      <c r="E64" s="67"/>
      <c r="F64" s="59">
        <v>9948</v>
      </c>
      <c r="G64" s="60">
        <v>9948</v>
      </c>
    </row>
    <row r="65" spans="2:7" x14ac:dyDescent="0.25">
      <c r="B65" s="67"/>
      <c r="C65" s="59">
        <v>9964</v>
      </c>
      <c r="D65" s="60">
        <v>9952</v>
      </c>
      <c r="E65" s="67"/>
      <c r="F65" s="59">
        <v>9952</v>
      </c>
      <c r="G65" s="60">
        <v>9952</v>
      </c>
    </row>
    <row r="66" spans="2:7" x14ac:dyDescent="0.25">
      <c r="B66" s="67"/>
      <c r="C66" s="59" t="s">
        <v>1317</v>
      </c>
      <c r="D66" s="60" t="s">
        <v>1317</v>
      </c>
      <c r="E66" s="67"/>
      <c r="F66" s="59">
        <v>9953</v>
      </c>
      <c r="G66" s="60" t="s">
        <v>1318</v>
      </c>
    </row>
    <row r="67" spans="2:7" x14ac:dyDescent="0.25">
      <c r="B67" s="67"/>
      <c r="C67" s="59"/>
      <c r="D67" s="60"/>
      <c r="E67" s="67"/>
      <c r="F67" s="59">
        <v>9956</v>
      </c>
      <c r="G67" s="60" t="s">
        <v>1319</v>
      </c>
    </row>
    <row r="68" spans="2:7" x14ac:dyDescent="0.25">
      <c r="B68" s="67"/>
      <c r="C68" s="59"/>
      <c r="D68" s="60"/>
      <c r="E68" s="67"/>
      <c r="F68" s="59">
        <v>9957</v>
      </c>
      <c r="G68" s="60" t="s">
        <v>1320</v>
      </c>
    </row>
    <row r="69" spans="2:7" x14ac:dyDescent="0.25">
      <c r="B69" s="67"/>
      <c r="C69" s="59"/>
      <c r="D69" s="60"/>
      <c r="E69" s="67"/>
      <c r="F69" s="59">
        <v>9964</v>
      </c>
      <c r="G69" s="60" t="s">
        <v>1321</v>
      </c>
    </row>
    <row r="70" spans="2:7" x14ac:dyDescent="0.25">
      <c r="B70" s="69"/>
      <c r="C70" s="62"/>
      <c r="D70" s="63"/>
      <c r="E70" s="69"/>
      <c r="F70" s="62" t="s">
        <v>1317</v>
      </c>
      <c r="G70" s="63" t="s">
        <v>1317</v>
      </c>
    </row>
  </sheetData>
  <pageMargins left="0.7" right="0.7" top="0.75" bottom="0.75" header="0.51180555555555496" footer="0.3"/>
  <pageSetup firstPageNumber="0" orientation="portrait" horizontalDpi="300" verticalDpi="300" r:id="rId1"/>
  <headerFooter>
    <oddFooter>&amp;C&amp;1#&amp;"Calibri"&amp;10&amp;K000000Confidential / Internal Use Only</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CC1DA"/>
  </sheetPr>
  <dimension ref="B2:G13"/>
  <sheetViews>
    <sheetView zoomScale="75" zoomScaleNormal="75" workbookViewId="0"/>
  </sheetViews>
  <sheetFormatPr defaultRowHeight="15" x14ac:dyDescent="0.25"/>
  <cols>
    <col min="1" max="3" width="8.5703125" customWidth="1"/>
    <col min="4" max="4" width="40.42578125" customWidth="1"/>
    <col min="5" max="6" width="8.5703125" customWidth="1"/>
    <col min="7" max="7" width="47" customWidth="1"/>
    <col min="8" max="1025" width="8.5703125" customWidth="1"/>
  </cols>
  <sheetData>
    <row r="2" spans="2:7" x14ac:dyDescent="0.25">
      <c r="B2" s="121" t="s">
        <v>344</v>
      </c>
      <c r="C2" s="121"/>
      <c r="D2" s="121"/>
      <c r="E2" s="121" t="s">
        <v>24</v>
      </c>
      <c r="F2" s="121"/>
      <c r="G2" s="121"/>
    </row>
    <row r="3" spans="2:7" x14ac:dyDescent="0.25">
      <c r="B3" s="58" t="s">
        <v>1322</v>
      </c>
      <c r="C3" s="82" t="s">
        <v>1272</v>
      </c>
      <c r="D3" s="83" t="s">
        <v>29</v>
      </c>
      <c r="E3" s="58" t="s">
        <v>1322</v>
      </c>
      <c r="F3" s="82" t="s">
        <v>1272</v>
      </c>
      <c r="G3" s="83" t="str">
        <f>IF(F3=C3,"Direct Map","Map to")</f>
        <v>Direct Map</v>
      </c>
    </row>
    <row r="4" spans="2:7" x14ac:dyDescent="0.25">
      <c r="B4" s="58"/>
      <c r="C4" s="84" t="s">
        <v>1276</v>
      </c>
      <c r="D4" s="85" t="s">
        <v>29</v>
      </c>
      <c r="E4" s="58"/>
      <c r="F4" s="84" t="s">
        <v>1276</v>
      </c>
      <c r="G4" s="85" t="str">
        <f>IF(F4=C4,"Direct Map","Map to")</f>
        <v>Direct Map</v>
      </c>
    </row>
    <row r="5" spans="2:7" x14ac:dyDescent="0.25">
      <c r="B5" s="58"/>
      <c r="C5" s="84" t="s">
        <v>1279</v>
      </c>
      <c r="D5" s="85" t="s">
        <v>29</v>
      </c>
      <c r="E5" s="58"/>
      <c r="F5" s="84" t="s">
        <v>1279</v>
      </c>
      <c r="G5" s="85" t="str">
        <f>IF(F5=C5,"Direct Map","Map to")</f>
        <v>Direct Map</v>
      </c>
    </row>
    <row r="6" spans="2:7" x14ac:dyDescent="0.25">
      <c r="B6" s="58"/>
      <c r="C6" s="84" t="s">
        <v>1288</v>
      </c>
      <c r="D6" s="85" t="s">
        <v>29</v>
      </c>
      <c r="E6" s="58"/>
      <c r="F6" s="84" t="s">
        <v>1288</v>
      </c>
      <c r="G6" s="85" t="str">
        <f>IF(F6=C6,"Direct Map","Map to")</f>
        <v>Direct Map</v>
      </c>
    </row>
    <row r="7" spans="2:7" x14ac:dyDescent="0.25">
      <c r="B7" s="58"/>
      <c r="C7" s="84" t="s">
        <v>1292</v>
      </c>
      <c r="D7" s="85" t="s">
        <v>29</v>
      </c>
      <c r="E7" s="58"/>
      <c r="F7" s="84" t="s">
        <v>1292</v>
      </c>
      <c r="G7" s="85" t="str">
        <f>IF(F7=C7,"Direct Map","Map to")</f>
        <v>Direct Map</v>
      </c>
    </row>
    <row r="8" spans="2:7" ht="30" customHeight="1" x14ac:dyDescent="0.25">
      <c r="B8" s="58"/>
      <c r="C8" s="84" t="s">
        <v>1293</v>
      </c>
      <c r="D8" s="86" t="s">
        <v>1323</v>
      </c>
      <c r="E8" s="58"/>
      <c r="F8" s="84" t="s">
        <v>1324</v>
      </c>
      <c r="G8" s="86" t="s">
        <v>1325</v>
      </c>
    </row>
    <row r="9" spans="2:7" ht="30" customHeight="1" x14ac:dyDescent="0.25">
      <c r="B9" s="58"/>
      <c r="C9" s="84" t="s">
        <v>1295</v>
      </c>
      <c r="D9" s="86" t="s">
        <v>1326</v>
      </c>
      <c r="E9" s="58"/>
      <c r="F9" s="84" t="s">
        <v>1327</v>
      </c>
      <c r="G9" s="86" t="s">
        <v>1328</v>
      </c>
    </row>
    <row r="10" spans="2:7" ht="30" customHeight="1" x14ac:dyDescent="0.25">
      <c r="B10" s="58"/>
      <c r="C10" s="84" t="s">
        <v>1309</v>
      </c>
      <c r="D10" s="85" t="s">
        <v>29</v>
      </c>
      <c r="E10" s="58"/>
      <c r="F10" s="84" t="s">
        <v>1329</v>
      </c>
      <c r="G10" s="86" t="s">
        <v>1330</v>
      </c>
    </row>
    <row r="11" spans="2:7" x14ac:dyDescent="0.25">
      <c r="B11" s="58"/>
      <c r="C11" s="84" t="s">
        <v>758</v>
      </c>
      <c r="D11" s="85" t="s">
        <v>29</v>
      </c>
      <c r="E11" s="58"/>
      <c r="F11" s="84" t="s">
        <v>1309</v>
      </c>
      <c r="G11" s="85" t="s">
        <v>29</v>
      </c>
    </row>
    <row r="12" spans="2:7" x14ac:dyDescent="0.25">
      <c r="B12" s="58"/>
      <c r="C12" s="87"/>
      <c r="D12" s="88"/>
      <c r="E12" s="58"/>
      <c r="F12" s="87" t="s">
        <v>758</v>
      </c>
      <c r="G12" s="88" t="s">
        <v>29</v>
      </c>
    </row>
    <row r="13" spans="2:7" x14ac:dyDescent="0.25">
      <c r="B13" s="89" t="s">
        <v>1331</v>
      </c>
      <c r="C13" s="90">
        <v>1100</v>
      </c>
      <c r="D13" s="91" t="s">
        <v>29</v>
      </c>
      <c r="E13" s="89" t="s">
        <v>1331</v>
      </c>
      <c r="F13" s="90">
        <v>1100</v>
      </c>
      <c r="G13" s="92" t="s">
        <v>29</v>
      </c>
    </row>
  </sheetData>
  <mergeCells count="2">
    <mergeCell ref="B2:D2"/>
    <mergeCell ref="E2:G2"/>
  </mergeCells>
  <pageMargins left="0.7" right="0.7" top="0.75" bottom="0.75" header="0.51180555555555496" footer="0.3"/>
  <pageSetup firstPageNumber="0" orientation="portrait" horizontalDpi="300" verticalDpi="300" r:id="rId1"/>
  <headerFooter>
    <oddFooter>&amp;C&amp;1#&amp;"Calibri"&amp;10&amp;K000000Confidential / Internal Use Only</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H18"/>
  <sheetViews>
    <sheetView zoomScale="75" zoomScaleNormal="75" workbookViewId="0">
      <selection activeCell="C25" sqref="C25"/>
    </sheetView>
  </sheetViews>
  <sheetFormatPr defaultRowHeight="15" x14ac:dyDescent="0.25"/>
  <cols>
    <col min="1" max="1" width="1.42578125" customWidth="1"/>
    <col min="2" max="2" width="64.140625" customWidth="1"/>
    <col min="3" max="3" width="8.5703125" customWidth="1"/>
    <col min="4" max="4" width="15.5703125" customWidth="1"/>
    <col min="5" max="5" width="60.85546875" customWidth="1"/>
    <col min="6" max="6" width="8.5703125" customWidth="1"/>
    <col min="7" max="7" width="13.42578125" customWidth="1"/>
    <col min="8" max="8" width="103.5703125" customWidth="1"/>
    <col min="9" max="1025" width="8.5703125" customWidth="1"/>
  </cols>
  <sheetData>
    <row r="1" spans="2:8" ht="9" customHeight="1" x14ac:dyDescent="0.25"/>
    <row r="2" spans="2:8" x14ac:dyDescent="0.25">
      <c r="B2" s="121" t="s">
        <v>1332</v>
      </c>
      <c r="C2" s="121"/>
      <c r="D2" s="121"/>
      <c r="E2" s="121" t="s">
        <v>1333</v>
      </c>
      <c r="F2" s="121"/>
      <c r="G2" s="121"/>
      <c r="H2" s="121"/>
    </row>
    <row r="3" spans="2:8" x14ac:dyDescent="0.25">
      <c r="B3" s="67"/>
      <c r="C3" s="59" t="s">
        <v>1334</v>
      </c>
      <c r="D3" s="59" t="s">
        <v>1335</v>
      </c>
      <c r="E3" s="67"/>
      <c r="F3" s="59" t="s">
        <v>1336</v>
      </c>
      <c r="G3" s="59" t="s">
        <v>1337</v>
      </c>
      <c r="H3" s="60" t="s">
        <v>1338</v>
      </c>
    </row>
    <row r="4" spans="2:8" x14ac:dyDescent="0.25">
      <c r="B4" s="67" t="s">
        <v>1339</v>
      </c>
      <c r="C4" s="59" t="s">
        <v>1327</v>
      </c>
      <c r="D4" s="59" t="s">
        <v>1327</v>
      </c>
      <c r="E4" s="67" t="s">
        <v>1339</v>
      </c>
      <c r="F4" s="59" t="s">
        <v>1270</v>
      </c>
      <c r="G4" s="59" t="s">
        <v>1340</v>
      </c>
      <c r="H4" s="60" t="s">
        <v>1341</v>
      </c>
    </row>
    <row r="5" spans="2:8" x14ac:dyDescent="0.25">
      <c r="B5" s="67"/>
      <c r="C5" s="59" t="s">
        <v>1303</v>
      </c>
      <c r="D5" s="59" t="s">
        <v>1303</v>
      </c>
      <c r="E5" s="67"/>
      <c r="F5" s="59" t="s">
        <v>1288</v>
      </c>
      <c r="G5" s="59" t="s">
        <v>1340</v>
      </c>
      <c r="H5" s="60" t="s">
        <v>1342</v>
      </c>
    </row>
    <row r="6" spans="2:8" x14ac:dyDescent="0.25">
      <c r="B6" s="67"/>
      <c r="C6" s="59" t="s">
        <v>1305</v>
      </c>
      <c r="D6" s="59" t="s">
        <v>1305</v>
      </c>
      <c r="E6" s="67"/>
      <c r="F6" s="59" t="s">
        <v>1327</v>
      </c>
      <c r="G6" s="59" t="s">
        <v>1327</v>
      </c>
      <c r="H6" s="60" t="s">
        <v>1343</v>
      </c>
    </row>
    <row r="7" spans="2:8" x14ac:dyDescent="0.25">
      <c r="B7" s="67"/>
      <c r="C7" s="59" t="s">
        <v>1344</v>
      </c>
      <c r="D7" s="59" t="s">
        <v>1344</v>
      </c>
      <c r="E7" s="67"/>
      <c r="F7" s="59" t="s">
        <v>1303</v>
      </c>
      <c r="G7" s="59" t="s">
        <v>1303</v>
      </c>
      <c r="H7" s="60"/>
    </row>
    <row r="8" spans="2:8" x14ac:dyDescent="0.25">
      <c r="B8" s="69"/>
      <c r="C8" s="62" t="s">
        <v>1345</v>
      </c>
      <c r="D8" s="62" t="s">
        <v>1345</v>
      </c>
      <c r="E8" s="67"/>
      <c r="F8" s="59" t="s">
        <v>1305</v>
      </c>
      <c r="G8" s="59" t="s">
        <v>1305</v>
      </c>
      <c r="H8" s="60"/>
    </row>
    <row r="9" spans="2:8" x14ac:dyDescent="0.25">
      <c r="E9" s="67"/>
      <c r="F9" s="59" t="s">
        <v>1344</v>
      </c>
      <c r="G9" s="59" t="s">
        <v>1344</v>
      </c>
      <c r="H9" s="60"/>
    </row>
    <row r="10" spans="2:8" x14ac:dyDescent="0.25">
      <c r="E10" s="67"/>
      <c r="F10" s="59" t="s">
        <v>1346</v>
      </c>
      <c r="G10" s="59" t="s">
        <v>1340</v>
      </c>
      <c r="H10" s="60" t="s">
        <v>1347</v>
      </c>
    </row>
    <row r="11" spans="2:8" x14ac:dyDescent="0.25">
      <c r="E11" s="67"/>
      <c r="F11" s="59" t="s">
        <v>1345</v>
      </c>
      <c r="G11" s="59" t="s">
        <v>1345</v>
      </c>
      <c r="H11" s="60"/>
    </row>
    <row r="12" spans="2:8" x14ac:dyDescent="0.25">
      <c r="E12" s="67"/>
      <c r="F12" s="59" t="s">
        <v>1348</v>
      </c>
      <c r="G12" s="59" t="s">
        <v>1349</v>
      </c>
      <c r="H12" s="60"/>
    </row>
    <row r="13" spans="2:8" x14ac:dyDescent="0.25">
      <c r="E13" s="67" t="s">
        <v>1350</v>
      </c>
      <c r="F13" s="59" t="s">
        <v>1351</v>
      </c>
      <c r="G13" s="59" t="s">
        <v>1340</v>
      </c>
      <c r="H13" s="60" t="s">
        <v>1352</v>
      </c>
    </row>
    <row r="14" spans="2:8" x14ac:dyDescent="0.25">
      <c r="E14" s="67"/>
      <c r="F14" s="59" t="s">
        <v>1353</v>
      </c>
      <c r="G14" s="59" t="s">
        <v>1340</v>
      </c>
      <c r="H14" s="60" t="s">
        <v>1354</v>
      </c>
    </row>
    <row r="15" spans="2:8" x14ac:dyDescent="0.25">
      <c r="E15" s="67"/>
      <c r="F15" s="59" t="s">
        <v>1355</v>
      </c>
      <c r="G15" s="59" t="s">
        <v>1340</v>
      </c>
      <c r="H15" s="60" t="s">
        <v>1356</v>
      </c>
    </row>
    <row r="16" spans="2:8" x14ac:dyDescent="0.25">
      <c r="E16" s="67"/>
      <c r="F16" s="59" t="s">
        <v>1357</v>
      </c>
      <c r="G16" s="59" t="s">
        <v>1340</v>
      </c>
      <c r="H16" s="60" t="s">
        <v>1358</v>
      </c>
    </row>
    <row r="17" spans="5:8" x14ac:dyDescent="0.25">
      <c r="E17" s="67"/>
      <c r="F17" s="59" t="s">
        <v>1359</v>
      </c>
      <c r="G17" s="59" t="s">
        <v>1340</v>
      </c>
      <c r="H17" s="60" t="s">
        <v>1360</v>
      </c>
    </row>
    <row r="18" spans="5:8" x14ac:dyDescent="0.25">
      <c r="E18" s="69"/>
      <c r="F18" s="62" t="s">
        <v>1361</v>
      </c>
      <c r="G18" s="62" t="s">
        <v>1340</v>
      </c>
      <c r="H18" s="63" t="s">
        <v>1362</v>
      </c>
    </row>
  </sheetData>
  <mergeCells count="2">
    <mergeCell ref="B2:D2"/>
    <mergeCell ref="E2:H2"/>
  </mergeCells>
  <pageMargins left="0.7" right="0.7" top="0.75" bottom="0.75" header="0.51180555555555496" footer="0.3"/>
  <pageSetup firstPageNumber="0" orientation="portrait" horizontalDpi="300" verticalDpi="300" r:id="rId1"/>
  <headerFooter>
    <oddFooter>&amp;C&amp;1#&amp;"Calibri"&amp;10&amp;K000000Confidential / Internal Use Only</oddFooter>
  </headerFooter>
</worksheet>
</file>

<file path=docProps/app.xml><?xml version="1.0" encoding="utf-8"?>
<Properties xmlns="http://schemas.openxmlformats.org/officeDocument/2006/extended-properties" xmlns:vt="http://schemas.openxmlformats.org/officeDocument/2006/docPropsVTypes">
  <Template/>
  <TotalTime>183</TotalTime>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Legend</vt:lpstr>
      <vt:lpstr>Using This Workbook</vt:lpstr>
      <vt:lpstr>Credit Transfer (pacs.008)</vt:lpstr>
      <vt:lpstr>Zelle Credit Transfer</vt:lpstr>
      <vt:lpstr>Message Status Report(pacs.002)</vt:lpstr>
      <vt:lpstr>RFP (pain.013)</vt:lpstr>
      <vt:lpstr>Zelle RFP (pain.013)</vt:lpstr>
      <vt:lpstr>RFPR (pain.014)</vt:lpstr>
      <vt:lpstr>RFI (camt.026)</vt:lpstr>
      <vt:lpstr>RFIR (camt.028)</vt:lpstr>
      <vt:lpstr>RFR (camt.056)</vt:lpstr>
      <vt:lpstr>RFRR (camt.029)</vt:lpstr>
      <vt:lpstr>Payment Ack (camt.035)</vt:lpstr>
      <vt:lpstr>Remit Advice (remt.001)</vt:lpstr>
      <vt:lpstr>LclInstr and CatPurp (mult)</vt:lpstr>
      <vt:lpstr>Ultimate Parties (mult)</vt:lpstr>
      <vt:lpstr>Message Names (pacs.002)</vt:lpstr>
      <vt:lpstr>Reason Codes (pacs.002) </vt:lpstr>
      <vt:lpstr>Reason Cd and Prtry (pain.014)</vt:lpstr>
      <vt:lpstr>CxlRsnInf Cd (camt.056)</vt:lpstr>
      <vt:lpstr>'Message Status Report(pacs.002)'!_FilterDatabase</vt:lpstr>
      <vt:lpstr>'Payment Ack (camt.035)'!_FilterDatabase</vt:lpstr>
      <vt:lpstr>'Remit Advice (remt.001)'!_FilterDatabase</vt:lpstr>
      <vt:lpstr>'RFI (camt.026)'!_FilterDatabase</vt:lpstr>
      <vt:lpstr>'RFP (pain.013)'!_FilterDatabase</vt:lpstr>
      <vt:lpstr>'RFPR (pain.014)'!_FilterDatabase</vt:lpstr>
      <vt:lpstr>'RFR (camt.056)'!_FilterDatabase</vt:lpstr>
      <vt:lpstr>'RFRR (camt.029)'!_FilterDatabase</vt:lpstr>
      <vt:lpstr>'Zelle Credit Transfer'!_FilterDatabase</vt:lpstr>
      <vt:lpstr>'Zelle RFP (pain.013)'!_FilterDatabase</vt:lpstr>
      <vt:lpstr>'Using This Workbook'!Print_Area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Heike Strasser</dc:creator>
  <cp:keywords>Classification=Confidential</cp:keywords>
  <dc:description/>
  <cp:lastModifiedBy>Ramos, Yosselyn</cp:lastModifiedBy>
  <cp:revision>2</cp:revision>
  <dcterms:created xsi:type="dcterms:W3CDTF">2019-01-30T15:28:42Z</dcterms:created>
  <dcterms:modified xsi:type="dcterms:W3CDTF">2019-11-08T16:47:39Z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MSIP_Label_11f69597-1723-4eef-9107-d32f8b34fd24_ActionId">
    <vt:lpwstr>6235c286-36fd-4fa0-a95e-f6cfb3bd095e</vt:lpwstr>
  </property>
  <property fmtid="{D5CDD505-2E9C-101B-9397-08002B2CF9AE}" pid="7" name="MSIP_Label_11f69597-1723-4eef-9107-d32f8b34fd24_Application">
    <vt:lpwstr>Microsoft Azure Information Protection</vt:lpwstr>
  </property>
  <property fmtid="{D5CDD505-2E9C-101B-9397-08002B2CF9AE}" pid="8" name="MSIP_Label_11f69597-1723-4eef-9107-d32f8b34fd24_Enabled">
    <vt:lpwstr>True</vt:lpwstr>
  </property>
  <property fmtid="{D5CDD505-2E9C-101B-9397-08002B2CF9AE}" pid="9" name="MSIP_Label_11f69597-1723-4eef-9107-d32f8b34fd24_Extended_MSFT_Method">
    <vt:lpwstr>Automatic</vt:lpwstr>
  </property>
  <property fmtid="{D5CDD505-2E9C-101B-9397-08002B2CF9AE}" pid="10" name="MSIP_Label_11f69597-1723-4eef-9107-d32f8b34fd24_Name">
    <vt:lpwstr>Confidential</vt:lpwstr>
  </property>
  <property fmtid="{D5CDD505-2E9C-101B-9397-08002B2CF9AE}" pid="11" name="MSIP_Label_11f69597-1723-4eef-9107-d32f8b34fd24_Owner">
    <vt:lpwstr>Ezinwa.Ezebuiro@mastercard.com</vt:lpwstr>
  </property>
  <property fmtid="{D5CDD505-2E9C-101B-9397-08002B2CF9AE}" pid="12" name="MSIP_Label_11f69597-1723-4eef-9107-d32f8b34fd24_SetDate">
    <vt:lpwstr>2019-10-29T16:09:07.9734476Z</vt:lpwstr>
  </property>
  <property fmtid="{D5CDD505-2E9C-101B-9397-08002B2CF9AE}" pid="13" name="MSIP_Label_11f69597-1723-4eef-9107-d32f8b34fd24_SiteId">
    <vt:lpwstr>f06fa858-824b-4a85-aacb-f372cfdc282e</vt:lpwstr>
  </property>
  <property fmtid="{D5CDD505-2E9C-101B-9397-08002B2CF9AE}" pid="14" name="MSIP_Label_4fa8c4ca-abf7-47c6-90df-578e94c0e0cc_ActionId">
    <vt:lpwstr>6235c286-36fd-4fa0-a95e-f6cfb3bd095e</vt:lpwstr>
  </property>
  <property fmtid="{D5CDD505-2E9C-101B-9397-08002B2CF9AE}" pid="15" name="MSIP_Label_4fa8c4ca-abf7-47c6-90df-578e94c0e0cc_Application">
    <vt:lpwstr>Microsoft Azure Information Protection</vt:lpwstr>
  </property>
  <property fmtid="{D5CDD505-2E9C-101B-9397-08002B2CF9AE}" pid="16" name="MSIP_Label_4fa8c4ca-abf7-47c6-90df-578e94c0e0cc_Enabled">
    <vt:lpwstr>True</vt:lpwstr>
  </property>
  <property fmtid="{D5CDD505-2E9C-101B-9397-08002B2CF9AE}" pid="17" name="MSIP_Label_4fa8c4ca-abf7-47c6-90df-578e94c0e0cc_Extended_MSFT_Method">
    <vt:lpwstr>Automatic</vt:lpwstr>
  </property>
  <property fmtid="{D5CDD505-2E9C-101B-9397-08002B2CF9AE}" pid="18" name="MSIP_Label_4fa8c4ca-abf7-47c6-90df-578e94c0e0cc_Name">
    <vt:lpwstr>Internal Use Only</vt:lpwstr>
  </property>
  <property fmtid="{D5CDD505-2E9C-101B-9397-08002B2CF9AE}" pid="19" name="MSIP_Label_4fa8c4ca-abf7-47c6-90df-578e94c0e0cc_Owner">
    <vt:lpwstr>Ezinwa.Ezebuiro@mastercard.com</vt:lpwstr>
  </property>
  <property fmtid="{D5CDD505-2E9C-101B-9397-08002B2CF9AE}" pid="20" name="MSIP_Label_4fa8c4ca-abf7-47c6-90df-578e94c0e0cc_Parent">
    <vt:lpwstr>11f69597-1723-4eef-9107-d32f8b34fd24</vt:lpwstr>
  </property>
  <property fmtid="{D5CDD505-2E9C-101B-9397-08002B2CF9AE}" pid="21" name="MSIP_Label_4fa8c4ca-abf7-47c6-90df-578e94c0e0cc_SetDate">
    <vt:lpwstr>2019-10-29T16:09:07.9734476Z</vt:lpwstr>
  </property>
  <property fmtid="{D5CDD505-2E9C-101B-9397-08002B2CF9AE}" pid="22" name="MSIP_Label_4fa8c4ca-abf7-47c6-90df-578e94c0e0cc_SiteId">
    <vt:lpwstr>f06fa858-824b-4a85-aacb-f372cfdc282e</vt:lpwstr>
  </property>
  <property fmtid="{D5CDD505-2E9C-101B-9397-08002B2CF9AE}" pid="23" name="ScaleCrop">
    <vt:bool>false</vt:bool>
  </property>
  <property fmtid="{D5CDD505-2E9C-101B-9397-08002B2CF9AE}" pid="24" name="Sensitivity">
    <vt:lpwstr>Confidential Internal Use Only</vt:lpwstr>
  </property>
  <property fmtid="{D5CDD505-2E9C-101B-9397-08002B2CF9AE}" pid="25" name="ShareDoc">
    <vt:bool>false</vt:bool>
  </property>
  <property fmtid="{D5CDD505-2E9C-101B-9397-08002B2CF9AE}" pid="26" name="TitusGUID">
    <vt:lpwstr>438c3808-e9a5-4741-a6a2-32829c31800c</vt:lpwstr>
  </property>
  <property fmtid="{D5CDD505-2E9C-101B-9397-08002B2CF9AE}" pid="27" name="Vocalink LimitedCLASSIFICATION">
    <vt:lpwstr>CONFIDENTIAL</vt:lpwstr>
  </property>
</Properties>
</file>